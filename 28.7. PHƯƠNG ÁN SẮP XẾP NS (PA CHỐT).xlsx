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LINH VĂN HOÁ\PHÒNG VĂN HÓA XÃ HỘI\NỘI VỤ - VHXH\ĐỀ ÁN SẮP XẾP ĐVSN CÔNG LẬP\PHƯƠNG ÁN SẮP XẾP CSGD 2026\PHƯƠNG ÁN SẮP XẾP T7.2026\ĐỀ ÁN NHÂN SỰ LĐQL SẮP XẾP TRƯỜNG\NHÂN SỰ GD CHỐT\"/>
    </mc:Choice>
  </mc:AlternateContent>
  <xr:revisionPtr revIDLastSave="0" documentId="13_ncr:1_{ACBC378D-CE6A-4496-99D5-F743DE2EB564}" xr6:coauthVersionLast="47" xr6:coauthVersionMax="47" xr10:uidLastSave="{00000000-0000-0000-0000-000000000000}"/>
  <bookViews>
    <workbookView xWindow="127" yWindow="127" windowWidth="18983" windowHeight="11086" xr2:uid="{00000000-000D-0000-FFFF-FFFF00000000}"/>
  </bookViews>
  <sheets>
    <sheet name="SX NHÂN SỰ MN, TH, THC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3" i="4" l="1"/>
  <c r="C80" i="4"/>
  <c r="C48" i="4"/>
  <c r="C12" i="4"/>
  <c r="C31" i="4"/>
  <c r="C28" i="4"/>
  <c r="C25" i="4"/>
  <c r="C18" i="4"/>
  <c r="C15" i="4"/>
  <c r="C86" i="4"/>
  <c r="C45" i="4"/>
  <c r="C66" i="4" l="1"/>
  <c r="C63" i="4"/>
  <c r="C77" i="4" l="1"/>
</calcChain>
</file>

<file path=xl/sharedStrings.xml><?xml version="1.0" encoding="utf-8"?>
<sst xmlns="http://schemas.openxmlformats.org/spreadsheetml/2006/main" count="367" uniqueCount="243">
  <si>
    <t>STT</t>
  </si>
  <si>
    <t xml:space="preserve"> THCS Đào Duy Tùng</t>
  </si>
  <si>
    <t xml:space="preserve"> THCS An Dương Vương</t>
  </si>
  <si>
    <t xml:space="preserve"> THCS Cổ Loa</t>
  </si>
  <si>
    <t xml:space="preserve"> THCS Đông Hội</t>
  </si>
  <si>
    <t xml:space="preserve"> THCS Ngô Quyền</t>
  </si>
  <si>
    <t>Tên trường</t>
  </si>
  <si>
    <t xml:space="preserve"> THCS Mai Lâm</t>
  </si>
  <si>
    <t xml:space="preserve"> THCS Việt Hùng</t>
  </si>
  <si>
    <t xml:space="preserve"> THCS Nguyễn Huy Tưởng</t>
  </si>
  <si>
    <t xml:space="preserve"> THCS Dục Tú</t>
  </si>
  <si>
    <t xml:space="preserve"> THCS Uy Nỗ</t>
  </si>
  <si>
    <t xml:space="preserve"> THCS Xuân Canh</t>
  </si>
  <si>
    <t>Đơn vị</t>
  </si>
  <si>
    <t>Tiểu học Dục Tú</t>
  </si>
  <si>
    <t>Tiểu học Ngô Tất Tố</t>
  </si>
  <si>
    <t xml:space="preserve"> Tiểu học Việt Hùng </t>
  </si>
  <si>
    <t xml:space="preserve"> Tiểu học Việt Hùng 2</t>
  </si>
  <si>
    <t xml:space="preserve"> Tiểu học An Dương Vương</t>
  </si>
  <si>
    <t xml:space="preserve"> Tiểu học Đông Hội</t>
  </si>
  <si>
    <t xml:space="preserve"> Tiểu học Đào Duy Tùng</t>
  </si>
  <si>
    <t xml:space="preserve"> Tiểu học Xuân Canh</t>
  </si>
  <si>
    <t xml:space="preserve"> Tiểu học Cổ Loa</t>
  </si>
  <si>
    <t xml:space="preserve"> Tiểu học Uy Nỗ</t>
  </si>
  <si>
    <t>Tổng số Điểm trường</t>
  </si>
  <si>
    <t xml:space="preserve"> Mầm non Phúc Lộc</t>
  </si>
  <si>
    <t xml:space="preserve"> Mầm non Cổ Loa</t>
  </si>
  <si>
    <t xml:space="preserve"> Mầm non Đông Hội</t>
  </si>
  <si>
    <t xml:space="preserve"> Mầm non Dục Tú</t>
  </si>
  <si>
    <t xml:space="preserve"> Mầm non Thái Bình</t>
  </si>
  <si>
    <t xml:space="preserve"> Mầm non Dục Nội</t>
  </si>
  <si>
    <t xml:space="preserve"> Mầm non Mai Lâm</t>
  </si>
  <si>
    <t xml:space="preserve"> Mầm non Sao Mai</t>
  </si>
  <si>
    <t xml:space="preserve"> Mầm non Thành Loa</t>
  </si>
  <si>
    <t xml:space="preserve"> Mầm non Uy Nỗ A</t>
  </si>
  <si>
    <t xml:space="preserve"> Mầm non Uy Nỗ</t>
  </si>
  <si>
    <t xml:space="preserve"> Mầm non Xuân Canh</t>
  </si>
  <si>
    <t xml:space="preserve"> Mầm non Việt Hùng</t>
  </si>
  <si>
    <t>ỦY BAN NHÂN DÂN XÃ ĐÔNG ANH</t>
  </si>
  <si>
    <t>1. Trường Tiểu học giữ nguyên quy mô không sắp xếp (01 trường)</t>
  </si>
  <si>
    <t>2. Các trường Tiểu học sắp xếp một cấp học đa cơ sở (2 trường)</t>
  </si>
  <si>
    <t>1. Các trường THCS giữ nguyên quy mô không sắp xếp (02 trường)</t>
  </si>
  <si>
    <t>2. Các trường THCS sắp xếp một cấp học đa cơ sở (02 trường)</t>
  </si>
  <si>
    <t xml:space="preserve">(Kèm theo Đề án số       /ĐA-UBND ngày       tháng 7 năm 2026 của UBND xã Đông Anh) </t>
  </si>
  <si>
    <t>PHƯƠNG ÁN SẮP XẾP NHÂN SỰ LÃNH ĐẠO QUẢN LÝ CÁC CƠ SỞ GIÁO DỤC CÔNG LẬP NĂM HỌC 2026 - 2027</t>
  </si>
  <si>
    <t xml:space="preserve">A. SẮP XẾP NHÂN SỰ TRƯỜNG MẦM NON </t>
  </si>
  <si>
    <t>Hiệu trường</t>
  </si>
  <si>
    <t>Họ và tên</t>
  </si>
  <si>
    <t>Phó hiệu trưởng</t>
  </si>
  <si>
    <t xml:space="preserve">Đỗ Thị Hậu
</t>
  </si>
  <si>
    <t>Hiệu trưởng trường MN Phúc Lộc</t>
  </si>
  <si>
    <t>Vương Thị Huyền</t>
  </si>
  <si>
    <t>Phó hiệu trưởng MN Phúc Lộc</t>
  </si>
  <si>
    <t>Lê Thị Thúy Hà</t>
  </si>
  <si>
    <t>Nguyễn Thị Nhàn</t>
  </si>
  <si>
    <t>Hiệu trưởng trường MN Cổ Loa</t>
  </si>
  <si>
    <t>Nguyễn Thị Thu Trang</t>
  </si>
  <si>
    <t>Hiệu trưởng trường MN Thành Loa</t>
  </si>
  <si>
    <t>Đào Thị Kim Yến</t>
  </si>
  <si>
    <t>Phó hiệu trưởng trường MN Thành Loa</t>
  </si>
  <si>
    <t>Phó hiệu trưởng MN 
Sao Mai</t>
  </si>
  <si>
    <t>Nguyễn Thị Vân Anh</t>
  </si>
  <si>
    <t>MẦM NON PHÚC LỘC</t>
  </si>
  <si>
    <t>MẦM NON CỔ LOA</t>
  </si>
  <si>
    <t>MẦM NON MAI LÂM</t>
  </si>
  <si>
    <t>MẦM NON VIỆT HÙNG</t>
  </si>
  <si>
    <t>MẦM NON UY NỖ</t>
  </si>
  <si>
    <t>MẦM NON ĐÔNG HỘI</t>
  </si>
  <si>
    <t>Hiệu trưởng trường MN Thái Bình</t>
  </si>
  <si>
    <t>Phạm Thị Bích Liên</t>
  </si>
  <si>
    <t>Hiệu trưởng trường MN Mai Lâm</t>
  </si>
  <si>
    <t>Lương Thị Hương</t>
  </si>
  <si>
    <t>Phó hiệu trưởng trường MN Thái Bình</t>
  </si>
  <si>
    <t>Lãnh đạo quản lý dôi dư</t>
  </si>
  <si>
    <t>Phương án sắp xếp</t>
  </si>
  <si>
    <t>Phó hiệu trưởng trường MN Sao Mai</t>
  </si>
  <si>
    <t>Hoàng Thị Quỳnh Hoa</t>
  </si>
  <si>
    <t>Trương Thị Nga</t>
  </si>
  <si>
    <t>Hiệu trưởng trường MN Dục Nội</t>
  </si>
  <si>
    <t>Biệt phái lên phòng VHXH</t>
  </si>
  <si>
    <t>Nguyễn Thị Kim Quế</t>
  </si>
  <si>
    <t>Phó hiệu trưởng 
MN Uy Nỗ A</t>
  </si>
  <si>
    <t>Hiệu trưởng trường
 MN Sao Mai</t>
  </si>
  <si>
    <t>Trần Thị Yên Giang</t>
  </si>
  <si>
    <t>Hiệu trưởng trường 
MN Uy Nỗ</t>
  </si>
  <si>
    <t>Ngô Thị Hạnh</t>
  </si>
  <si>
    <t>Hiệu trưởng trường MN Uy Nỗ</t>
  </si>
  <si>
    <t>Nguyễn Thị Minh Toan</t>
  </si>
  <si>
    <t>Phó hiệu trưởng MN Uy Nỗ A</t>
  </si>
  <si>
    <t>Trương Thị Thúy Hòa</t>
  </si>
  <si>
    <t>Hiệu trưởng trường MN Đông Hội</t>
  </si>
  <si>
    <t>Nguyễn Thị Hà</t>
  </si>
  <si>
    <t>Hiệu trưởng trường MN Xuân Canh</t>
  </si>
  <si>
    <t>B. SẮP XẾP NHÂN SỰ CÁC TRƯỜNG TIỂU HỌC</t>
  </si>
  <si>
    <t>Số điểm trường</t>
  </si>
  <si>
    <t>Hiệu trưởng</t>
  </si>
  <si>
    <t>Họ tên</t>
  </si>
  <si>
    <t>Lãnh đạo dôi dư</t>
  </si>
  <si>
    <t>Dương Thị Lan Phương</t>
  </si>
  <si>
    <t>HT trường Tiểu học 
An Dương Vương</t>
  </si>
  <si>
    <t>Lê Hồng Vân</t>
  </si>
  <si>
    <t>Phó hiệu trưởng trường TH An Dương Vương</t>
  </si>
  <si>
    <t>Ngô Thị Mai</t>
  </si>
  <si>
    <t>TRƯỜNG TIỂU HỌC ĐÔNG HỘI</t>
  </si>
  <si>
    <t>Phạm Thị Tân Trang</t>
  </si>
  <si>
    <t>Hiệu trưởng trường 
TH Ngô Tất Tố</t>
  </si>
  <si>
    <t>Quản Thị Thu Hòa</t>
  </si>
  <si>
    <t>Phó hiệu trưởng trường MN Đông Hội</t>
  </si>
  <si>
    <t>Nguyễn Thị Hạnh</t>
  </si>
  <si>
    <t>Phó hiệu trưởng trường TH Đông Hội</t>
  </si>
  <si>
    <t>Hoàng Ngọc Sơn</t>
  </si>
  <si>
    <t>Phó hiệu trưởng trường TH Xuân Canh</t>
  </si>
  <si>
    <t>TRƯỜNG TIỂU HỌC VIỆT HÙNG</t>
  </si>
  <si>
    <t>Đào Thị Hòa</t>
  </si>
  <si>
    <t>Hiệu trưởng trường 
TH Cổ Loa</t>
  </si>
  <si>
    <t>Hữu Thị Như Quỳnh</t>
  </si>
  <si>
    <t>Hiệu trưởng trường TH Việt Hùng 2</t>
  </si>
  <si>
    <t>Đào Mỹ Lệ Hằng</t>
  </si>
  <si>
    <t>Phó hiệu trưởng trường TH Việt Hùng</t>
  </si>
  <si>
    <t xml:space="preserve">C. SẮP XẾP NHÂN SỰ CÁC TRƯỜNG TRUNG HỌC CƠ SỞ </t>
  </si>
  <si>
    <t>Nguyễn Thị Thu Hà</t>
  </si>
  <si>
    <t>Chử Thị Hồng Yến</t>
  </si>
  <si>
    <t>Hiệu trưởng trường THCS Nguyễn Huy Tưởng</t>
  </si>
  <si>
    <t>Hiệu trưởng trường THCS Ngô Quyền</t>
  </si>
  <si>
    <t>Nguyễn Thị Mai Lan</t>
  </si>
  <si>
    <t>Trần Thị Quyên</t>
  </si>
  <si>
    <t>Phó hiệu trưởng trường THCS Nguyễn Huy Tưởng</t>
  </si>
  <si>
    <t>Phó hiệu trưởng trường THCS Ngô Quyền</t>
  </si>
  <si>
    <t>Nguyễn Thị Kim Hoa</t>
  </si>
  <si>
    <t>Đỗ Thị Kim Hòa</t>
  </si>
  <si>
    <t>Không</t>
  </si>
  <si>
    <t>TRƯỜNG THCS AN DƯƠNG VƯƠNG</t>
  </si>
  <si>
    <t>Đỗ Thị Thanh Thủy</t>
  </si>
  <si>
    <t>Hiệu trưởng trường
 THCS Việt Hùng</t>
  </si>
  <si>
    <t>Ngô Văn Thắng</t>
  </si>
  <si>
    <t>Hiệu trưởng trường THCS An Dương Vương</t>
  </si>
  <si>
    <t>Phạm Thanh Hương</t>
  </si>
  <si>
    <t>Phó hiệu trưởng trường THCS Việt Hùng</t>
  </si>
  <si>
    <t>TRƯỜNG THCS XUÂN CANH</t>
  </si>
  <si>
    <t>Nguyễn Đình Điềm</t>
  </si>
  <si>
    <t>Hiệu trưởng trường THCS Đông Hội</t>
  </si>
  <si>
    <t>Nguyễn Hữu Sướng</t>
  </si>
  <si>
    <t>Hiệu trưởng trường THCS Xuân Canh</t>
  </si>
  <si>
    <t>Nguyễn Thiên Hương</t>
  </si>
  <si>
    <t xml:space="preserve">D. SẮP XẾP NHÂN SỰ CÁC TRƯỜNG NHIỀU CẤP HỌC </t>
  </si>
  <si>
    <t>TRƯỜNG TIỂU HỌC VÀ THCS MAI LÂM</t>
  </si>
  <si>
    <t>TRƯỜNG TIỂU HỌC VÀ THCS CỔ LOA</t>
  </si>
  <si>
    <t>TRƯỜNG TIỂU HỌC VÀ THCS ĐÀO DUY TÙNG</t>
  </si>
  <si>
    <t>TRƯỜNG TIỂU HỌC VÀ THCS DỤC TÚ</t>
  </si>
  <si>
    <t>TRƯỜNG TIỂU HỌC VÀ THCS UY NỖ</t>
  </si>
  <si>
    <t>Hoàng Ngọc Thắng</t>
  </si>
  <si>
    <t>Hiệu trưởng trường THCS Mai Lâm</t>
  </si>
  <si>
    <t>Lê Thị Hạnh</t>
  </si>
  <si>
    <t>Hiệu trưởng trường TH Đông Hội</t>
  </si>
  <si>
    <t>Hoàng Phương Anh</t>
  </si>
  <si>
    <t>Phó hiệu trưởng trường THCS Xuân Canh</t>
  </si>
  <si>
    <t>Nguyễn Thị Huệ</t>
  </si>
  <si>
    <t>Hiệu trưởng trường Tiểu học Đào Duy Tùng</t>
  </si>
  <si>
    <t>Đỗ Thị Như Hoa</t>
  </si>
  <si>
    <t>Phó hiệu trưởng trường THCS Cổ Loa</t>
  </si>
  <si>
    <t>Hoàng Thúy Hòa</t>
  </si>
  <si>
    <t>Phó hiệu trưởng trường TH Cổ Loa</t>
  </si>
  <si>
    <t>Hồ Thị Ánh</t>
  </si>
  <si>
    <t>Hiệu trưởng trường THCS Đào Duy Tùng</t>
  </si>
  <si>
    <t>Nguyễn Thị Thanh Thủy</t>
  </si>
  <si>
    <t>Phó hiệu trưởng trường THCS Đào Duy Tùng</t>
  </si>
  <si>
    <t>Bùi Thị Thúy</t>
  </si>
  <si>
    <t>Phó hiệu trưởng trường TH Đào Duy Tùng</t>
  </si>
  <si>
    <t>Nguyễn Quang Anh</t>
  </si>
  <si>
    <t>Nguyễn Thị Thu Hằng</t>
  </si>
  <si>
    <t>Đào Khắc Đại</t>
  </si>
  <si>
    <t>Phó hiệu trưởng trường THCS Dục Tú</t>
  </si>
  <si>
    <t>Trần Thị Giáng Hương</t>
  </si>
  <si>
    <t>Lê Quang Hoa</t>
  </si>
  <si>
    <t>Hiệu trưởng trường 
THCS Uy Nỗ</t>
  </si>
  <si>
    <t>Hoàng Thị Bích Hồng</t>
  </si>
  <si>
    <t>Chuyển làm Giáo viên - Tổ trưởng chuyên môn</t>
  </si>
  <si>
    <t>Phó hiệu trưởng trường MN Cổ Loa</t>
  </si>
  <si>
    <t>Lê Thị Huệ</t>
  </si>
  <si>
    <t>Lê Thị Uyên</t>
  </si>
  <si>
    <t>Chuyển làm Giáo viên - Tổ trưởng chuyên môn
tại trường MN Dục Tú</t>
  </si>
  <si>
    <t>Nguyễn Thị Thanh Hương</t>
  </si>
  <si>
    <t>Phó hiệu trưởng MN Thái BÌnh</t>
  </si>
  <si>
    <t>Chuyển làm giáo viên - Tổ trưởng chuyên môn</t>
  </si>
  <si>
    <t>Lê Thị Minh Hảo</t>
  </si>
  <si>
    <t>Phó hiệu trưởng MN Mai Lâm</t>
  </si>
  <si>
    <t>Nguyễn Thị Ngọc Điệp</t>
  </si>
  <si>
    <t>Nguyễn Đình Thị Hiền</t>
  </si>
  <si>
    <t>Nguyễn Thị Phượng</t>
  </si>
  <si>
    <t>Phó hiệu trưởng MN Dục Tú</t>
  </si>
  <si>
    <t>Nguyễn Thị Vân</t>
  </si>
  <si>
    <t>Khang Thị Thu Huyền</t>
  </si>
  <si>
    <t>Phó hiệu trưởng trường MN Dục Nội</t>
  </si>
  <si>
    <t>Bùi Thị Xuân Hương</t>
  </si>
  <si>
    <t>Phó hiệu trưởng trường MN Dục Tú</t>
  </si>
  <si>
    <t>Nguyễn Thị Cúc</t>
  </si>
  <si>
    <t>Phó hiệu trường MN Việt Hùng</t>
  </si>
  <si>
    <t>Nguyễn Thị Hồng Thắm</t>
  </si>
  <si>
    <t>Phó hiệu trưởng trường MN Uy Nỗ</t>
  </si>
  <si>
    <t>Nguyễn Thị Hiền</t>
  </si>
  <si>
    <t>Đỗ Hồng Trang</t>
  </si>
  <si>
    <t>Phạm Thị Thanh Hà</t>
  </si>
  <si>
    <t>Hoàng Thị Kim Oanh</t>
  </si>
  <si>
    <t>Phó hiệu trưởng trường MN Xuân Canh</t>
  </si>
  <si>
    <t>Ngô Thị Mai Hoa</t>
  </si>
  <si>
    <t>Giáo viên</t>
  </si>
  <si>
    <t>Lưu Thị Thu Hồng</t>
  </si>
  <si>
    <t>Phó hiệu trường trường 
TH Đông Hội</t>
  </si>
  <si>
    <t>Hiệu trưởng trường 
TH Xuân Canh</t>
  </si>
  <si>
    <t>Phạm Thúy Huyền</t>
  </si>
  <si>
    <t>Hiệu trưởng trường 
TH Việt Hùng</t>
  </si>
  <si>
    <t>Nghỉ chế độ</t>
  </si>
  <si>
    <t>Nguyễn Thị Thắm</t>
  </si>
  <si>
    <t>Chuyển Giáo viên, Tổ trưởng tổ chuyên môn Trường THCS Nguyễn Huy Tưởng</t>
  </si>
  <si>
    <t>Đỗ Thu Phương</t>
  </si>
  <si>
    <t>Phó hiệu trưởng trường THCS Đông Hội</t>
  </si>
  <si>
    <t>Giáo viên, Tổ trưởng chuyên môn</t>
  </si>
  <si>
    <t>Giáo viên, Tổ trưởng chuyên môn tại trường Tiểu học, THCS Mai Lâm</t>
  </si>
  <si>
    <t>Nguyễn Thị Hương</t>
  </si>
  <si>
    <t>Phó hiệu trưởng trường TH Ngô Tất Tố</t>
  </si>
  <si>
    <t>Giáo viên, Tổ trưởng chuyên môn (Cá nhân mong muốn nghỉ theo 154, nhưng KP chi trả do nhà trường bố trí, hiện không có nguồn)</t>
  </si>
  <si>
    <t>Ngô Thị Hải Lương</t>
  </si>
  <si>
    <t xml:space="preserve">Giáo viên, Tổ trưởng chuyên môn </t>
  </si>
  <si>
    <t>Hoàng Thị Kim Quý</t>
  </si>
  <si>
    <t>Phó hiệu trưởng trường 
TH Ngô Tất Tố</t>
  </si>
  <si>
    <t>Ngô Thị Kim Tuyến</t>
  </si>
  <si>
    <t>Phó hiệu trưởng trường TH Dục Tú</t>
  </si>
  <si>
    <t>Phan Thị Thanh Nhàn</t>
  </si>
  <si>
    <t>Nguyễn Thị Minh Tuyển</t>
  </si>
  <si>
    <t>Phó hiệu trưởng trường THCS Uy Nỗ</t>
  </si>
  <si>
    <t>Đỗ Thị Kim Huệ</t>
  </si>
  <si>
    <t>Phó hiệu trưởng MN Việt Hùng</t>
  </si>
  <si>
    <t>Chuyển làm giáo viên, Tổ trưởng chuyên môn</t>
  </si>
  <si>
    <t>Nguyễn Thị Lan Phương</t>
  </si>
  <si>
    <t>Hiệu trưởng trường 
MN Việt Hùng</t>
  </si>
  <si>
    <t>Hiệu trưởng trường 
MN Dục Tú</t>
  </si>
  <si>
    <t>Đỗ Thị Kim Loan</t>
  </si>
  <si>
    <t>Hiệu trưởng trường 
TH Uy Nỗ</t>
  </si>
  <si>
    <t>Hiệu trưởng trường THCS Dục Tú</t>
  </si>
  <si>
    <t>Hiệu trưởng trường TH Dục Tú</t>
  </si>
  <si>
    <t>Hiệu trưởng trường
 THCS Cổ Loa</t>
  </si>
  <si>
    <t>hó hiệu trưởng trường 
THCS Mai Lâm</t>
  </si>
  <si>
    <t>Phó hiệu trưởng trường 
TH Uy Nỗ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</si>
</sst>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0.0"/>
    <numFmt numFmtId="167" formatCode="_(* #,##0.0_);_(* \(#,##0.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Calibri"/>
      <family val="2"/>
    </font>
    <font>
      <b/>
      <sz val="11"/>
      <name val="Times New Roman"/>
      <family val="1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3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b/>
      <sz val="11"/>
      <name val="Calibri"/>
      <family val="2"/>
      <scheme val="minor"/>
    </font>
    <font>
      <b/>
      <i/>
      <sz val="14"/>
      <name val="Times New Roman"/>
      <family val="1"/>
    </font>
    <font>
      <sz val="12"/>
      <name val="Times New Roman"/>
      <family val="1"/>
      <charset val="163"/>
    </font>
    <font>
      <b/>
      <sz val="11"/>
      <color theme="1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rgb="FFD6E3B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75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4" fillId="0" borderId="0" xfId="0" applyFont="1"/>
    <xf numFmtId="1" fontId="2" fillId="0" borderId="1" xfId="0" applyNumberFormat="1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left" vertical="center" wrapText="1"/>
    </xf>
    <xf numFmtId="1" fontId="2" fillId="0" borderId="9" xfId="0" applyNumberFormat="1" applyFont="1" applyBorder="1" applyAlignment="1">
      <alignment horizontal="center" vertical="center" wrapText="1"/>
    </xf>
    <xf numFmtId="1" fontId="2" fillId="0" borderId="10" xfId="0" applyNumberFormat="1" applyFont="1" applyBorder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/>
    </xf>
    <xf numFmtId="0" fontId="7" fillId="6" borderId="0" xfId="0" applyFont="1" applyFill="1" applyAlignment="1">
      <alignment horizontal="left" vertical="center" wrapText="1"/>
    </xf>
    <xf numFmtId="0" fontId="3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165" fontId="2" fillId="0" borderId="1" xfId="1" applyNumberFormat="1" applyFont="1" applyFill="1" applyBorder="1" applyAlignment="1" applyProtection="1">
      <alignment horizontal="center" vertical="center" wrapText="1"/>
    </xf>
    <xf numFmtId="164" fontId="3" fillId="3" borderId="1" xfId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5" fontId="2" fillId="0" borderId="1" xfId="1" applyNumberFormat="1" applyFont="1" applyFill="1" applyBorder="1" applyAlignment="1" applyProtection="1">
      <alignment vertical="center" wrapText="1"/>
    </xf>
    <xf numFmtId="164" fontId="2" fillId="0" borderId="0" xfId="0" applyNumberFormat="1" applyFont="1"/>
    <xf numFmtId="165" fontId="3" fillId="7" borderId="1" xfId="1" applyNumberFormat="1" applyFont="1" applyFill="1" applyBorder="1" applyAlignment="1" applyProtection="1">
      <alignment vertical="center" wrapText="1"/>
    </xf>
    <xf numFmtId="165" fontId="3" fillId="7" borderId="1" xfId="1" applyNumberFormat="1" applyFont="1" applyFill="1" applyBorder="1" applyAlignment="1" applyProtection="1">
      <alignment horizontal="center" vertical="center" wrapText="1"/>
    </xf>
    <xf numFmtId="1" fontId="3" fillId="7" borderId="1" xfId="0" applyNumberFormat="1" applyFont="1" applyFill="1" applyBorder="1" applyAlignment="1">
      <alignment horizontal="center" vertical="center"/>
    </xf>
    <xf numFmtId="1" fontId="3" fillId="7" borderId="1" xfId="0" applyNumberFormat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/>
    </xf>
    <xf numFmtId="0" fontId="5" fillId="13" borderId="14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3" borderId="6" xfId="0" applyFont="1" applyFill="1" applyBorder="1" applyAlignment="1">
      <alignment horizontal="center" vertical="center" wrapText="1"/>
    </xf>
    <xf numFmtId="164" fontId="3" fillId="6" borderId="1" xfId="1" applyFont="1" applyFill="1" applyBorder="1" applyAlignment="1" applyProtection="1">
      <alignment horizontal="center" vertical="center" wrapText="1"/>
    </xf>
    <xf numFmtId="0" fontId="2" fillId="6" borderId="1" xfId="0" quotePrefix="1" applyFont="1" applyFill="1" applyBorder="1" applyAlignment="1">
      <alignment horizontal="left" vertical="center" wrapText="1"/>
    </xf>
    <xf numFmtId="0" fontId="2" fillId="6" borderId="1" xfId="0" applyFont="1" applyFill="1" applyBorder="1"/>
    <xf numFmtId="165" fontId="3" fillId="15" borderId="1" xfId="1" applyNumberFormat="1" applyFont="1" applyFill="1" applyBorder="1" applyAlignment="1" applyProtection="1">
      <alignment horizontal="center" vertical="center" wrapText="1"/>
    </xf>
    <xf numFmtId="165" fontId="2" fillId="9" borderId="1" xfId="1" applyNumberFormat="1" applyFont="1" applyFill="1" applyBorder="1" applyAlignment="1" applyProtection="1">
      <alignment horizontal="center" vertical="center" wrapText="1"/>
    </xf>
    <xf numFmtId="164" fontId="2" fillId="9" borderId="1" xfId="1" applyFont="1" applyFill="1" applyBorder="1" applyAlignment="1" applyProtection="1">
      <alignment horizontal="center" vertical="center" wrapText="1"/>
    </xf>
    <xf numFmtId="165" fontId="3" fillId="3" borderId="1" xfId="1" applyNumberFormat="1" applyFont="1" applyFill="1" applyBorder="1" applyAlignment="1" applyProtection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165" fontId="2" fillId="15" borderId="2" xfId="1" applyNumberFormat="1" applyFont="1" applyFill="1" applyBorder="1" applyAlignment="1" applyProtection="1">
      <alignment horizontal="center" vertical="center" wrapText="1"/>
    </xf>
    <xf numFmtId="165" fontId="2" fillId="9" borderId="2" xfId="1" applyNumberFormat="1" applyFont="1" applyFill="1" applyBorder="1" applyAlignment="1" applyProtection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65" fontId="3" fillId="3" borderId="2" xfId="1" applyNumberFormat="1" applyFont="1" applyFill="1" applyBorder="1" applyAlignment="1" applyProtection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vertical="center"/>
    </xf>
    <xf numFmtId="0" fontId="3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2" fillId="13" borderId="1" xfId="0" quotePrefix="1" applyFont="1" applyFill="1" applyBorder="1" applyAlignment="1">
      <alignment horizontal="center" vertical="center" wrapText="1"/>
    </xf>
    <xf numFmtId="0" fontId="2" fillId="6" borderId="1" xfId="0" quotePrefix="1" applyFont="1" applyFill="1" applyBorder="1" applyAlignment="1">
      <alignment vertical="center" wrapText="1"/>
    </xf>
    <xf numFmtId="0" fontId="2" fillId="6" borderId="1" xfId="0" quotePrefix="1" applyFont="1" applyFill="1" applyBorder="1" applyAlignment="1">
      <alignment horizontal="center" vertical="center" wrapText="1"/>
    </xf>
    <xf numFmtId="167" fontId="3" fillId="13" borderId="1" xfId="1" applyNumberFormat="1" applyFont="1" applyFill="1" applyBorder="1" applyAlignment="1" applyProtection="1">
      <alignment horizontal="center" vertical="center" wrapText="1"/>
    </xf>
    <xf numFmtId="0" fontId="3" fillId="13" borderId="1" xfId="0" quotePrefix="1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165" fontId="3" fillId="13" borderId="1" xfId="1" applyNumberFormat="1" applyFont="1" applyFill="1" applyBorder="1" applyAlignment="1" applyProtection="1">
      <alignment horizontal="center" vertical="center" wrapText="1"/>
    </xf>
    <xf numFmtId="165" fontId="3" fillId="6" borderId="1" xfId="1" applyNumberFormat="1" applyFont="1" applyFill="1" applyBorder="1" applyAlignment="1" applyProtection="1">
      <alignment horizontal="center" vertical="center" wrapText="1"/>
    </xf>
    <xf numFmtId="0" fontId="7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vertical="center" wrapText="1"/>
    </xf>
    <xf numFmtId="0" fontId="2" fillId="6" borderId="0" xfId="0" applyFont="1" applyFill="1"/>
    <xf numFmtId="0" fontId="3" fillId="13" borderId="0" xfId="0" applyFont="1" applyFill="1" applyAlignment="1">
      <alignment horizontal="center" vertical="center" wrapText="1"/>
    </xf>
    <xf numFmtId="165" fontId="3" fillId="15" borderId="5" xfId="1" applyNumberFormat="1" applyFont="1" applyFill="1" applyBorder="1" applyAlignment="1" applyProtection="1">
      <alignment horizontal="center" vertical="center" wrapText="1"/>
    </xf>
    <xf numFmtId="165" fontId="3" fillId="15" borderId="7" xfId="1" applyNumberFormat="1" applyFont="1" applyFill="1" applyBorder="1" applyAlignment="1" applyProtection="1">
      <alignment horizontal="center" vertical="center" wrapText="1"/>
    </xf>
    <xf numFmtId="165" fontId="3" fillId="15" borderId="6" xfId="1" applyNumberFormat="1" applyFont="1" applyFill="1" applyBorder="1" applyAlignment="1" applyProtection="1">
      <alignment horizontal="center" vertical="center" wrapText="1"/>
    </xf>
    <xf numFmtId="165" fontId="2" fillId="9" borderId="5" xfId="1" applyNumberFormat="1" applyFont="1" applyFill="1" applyBorder="1" applyAlignment="1" applyProtection="1">
      <alignment horizontal="center" vertical="center" wrapText="1"/>
    </xf>
    <xf numFmtId="165" fontId="2" fillId="9" borderId="7" xfId="1" applyNumberFormat="1" applyFont="1" applyFill="1" applyBorder="1" applyAlignment="1" applyProtection="1">
      <alignment horizontal="center" vertical="center" wrapText="1"/>
    </xf>
    <xf numFmtId="165" fontId="2" fillId="9" borderId="6" xfId="1" applyNumberFormat="1" applyFont="1" applyFill="1" applyBorder="1" applyAlignment="1" applyProtection="1">
      <alignment horizontal="center" vertical="center" wrapText="1"/>
    </xf>
    <xf numFmtId="165" fontId="3" fillId="3" borderId="5" xfId="1" applyNumberFormat="1" applyFont="1" applyFill="1" applyBorder="1" applyAlignment="1" applyProtection="1">
      <alignment horizontal="center" vertical="center" wrapText="1"/>
    </xf>
    <xf numFmtId="165" fontId="3" fillId="3" borderId="7" xfId="1" applyNumberFormat="1" applyFont="1" applyFill="1" applyBorder="1" applyAlignment="1" applyProtection="1">
      <alignment horizontal="center" vertical="center" wrapText="1"/>
    </xf>
    <xf numFmtId="165" fontId="3" fillId="3" borderId="6" xfId="1" applyNumberFormat="1" applyFont="1" applyFill="1" applyBorder="1" applyAlignment="1" applyProtection="1">
      <alignment horizontal="center" vertical="center" wrapText="1"/>
    </xf>
    <xf numFmtId="1" fontId="3" fillId="6" borderId="19" xfId="0" applyNumberFormat="1" applyFont="1" applyFill="1" applyBorder="1" applyAlignment="1">
      <alignment horizontal="center" vertical="center" wrapText="1"/>
    </xf>
    <xf numFmtId="1" fontId="3" fillId="6" borderId="7" xfId="0" applyNumberFormat="1" applyFont="1" applyFill="1" applyBorder="1" applyAlignment="1">
      <alignment horizontal="center" vertical="center" wrapText="1"/>
    </xf>
    <xf numFmtId="1" fontId="3" fillId="6" borderId="6" xfId="0" applyNumberFormat="1" applyFont="1" applyFill="1" applyBorder="1" applyAlignment="1">
      <alignment horizontal="center" vertical="center" wrapText="1"/>
    </xf>
    <xf numFmtId="1" fontId="2" fillId="0" borderId="17" xfId="0" applyNumberFormat="1" applyFont="1" applyBorder="1" applyAlignment="1">
      <alignment horizontal="center" vertical="center" wrapText="1"/>
    </xf>
    <xf numFmtId="1" fontId="2" fillId="0" borderId="20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4" fontId="3" fillId="3" borderId="11" xfId="1" applyFont="1" applyFill="1" applyBorder="1" applyAlignment="1" applyProtection="1">
      <alignment horizontal="center" vertical="center" wrapText="1"/>
    </xf>
    <xf numFmtId="164" fontId="3" fillId="3" borderId="16" xfId="1" applyFont="1" applyFill="1" applyBorder="1" applyAlignment="1" applyProtection="1">
      <alignment horizontal="center" vertical="center" wrapText="1"/>
    </xf>
    <xf numFmtId="164" fontId="3" fillId="3" borderId="3" xfId="1" applyFont="1" applyFill="1" applyBorder="1" applyAlignment="1" applyProtection="1">
      <alignment horizontal="center" vertical="center" wrapText="1"/>
    </xf>
    <xf numFmtId="0" fontId="2" fillId="0" borderId="0" xfId="0" applyFont="1" applyAlignment="1">
      <alignment horizontal="center"/>
    </xf>
    <xf numFmtId="0" fontId="3" fillId="3" borderId="5" xfId="0" quotePrefix="1" applyFont="1" applyFill="1" applyBorder="1" applyAlignment="1">
      <alignment horizontal="center" vertical="center" wrapText="1"/>
    </xf>
    <xf numFmtId="0" fontId="3" fillId="3" borderId="7" xfId="0" quotePrefix="1" applyFont="1" applyFill="1" applyBorder="1" applyAlignment="1">
      <alignment horizontal="center" vertical="center" wrapText="1"/>
    </xf>
    <xf numFmtId="0" fontId="3" fillId="3" borderId="6" xfId="0" quotePrefix="1" applyFont="1" applyFill="1" applyBorder="1" applyAlignment="1">
      <alignment horizontal="center" vertical="center" wrapText="1"/>
    </xf>
    <xf numFmtId="1" fontId="3" fillId="2" borderId="11" xfId="0" applyNumberFormat="1" applyFont="1" applyFill="1" applyBorder="1" applyAlignment="1">
      <alignment horizontal="center" vertical="center" wrapText="1"/>
    </xf>
    <xf numFmtId="1" fontId="3" fillId="2" borderId="16" xfId="0" applyNumberFormat="1" applyFont="1" applyFill="1" applyBorder="1" applyAlignment="1">
      <alignment horizontal="center" vertical="center" wrapText="1"/>
    </xf>
    <xf numFmtId="1" fontId="3" fillId="2" borderId="3" xfId="0" applyNumberFormat="1" applyFont="1" applyFill="1" applyBorder="1" applyAlignment="1">
      <alignment horizontal="center" vertical="center" wrapText="1"/>
    </xf>
    <xf numFmtId="1" fontId="2" fillId="0" borderId="17" xfId="0" applyNumberFormat="1" applyFont="1" applyBorder="1" applyAlignment="1">
      <alignment horizontal="left" vertical="center" wrapText="1"/>
    </xf>
    <xf numFmtId="1" fontId="2" fillId="0" borderId="18" xfId="0" applyNumberFormat="1" applyFont="1" applyBorder="1" applyAlignment="1">
      <alignment horizontal="left" vertical="center" wrapText="1"/>
    </xf>
    <xf numFmtId="1" fontId="2" fillId="0" borderId="5" xfId="0" applyNumberFormat="1" applyFont="1" applyBorder="1" applyAlignment="1">
      <alignment horizontal="left" vertical="center" wrapText="1"/>
    </xf>
    <xf numFmtId="1" fontId="2" fillId="0" borderId="7" xfId="0" applyNumberFormat="1" applyFont="1" applyBorder="1" applyAlignment="1">
      <alignment horizontal="left" vertical="center" wrapText="1"/>
    </xf>
    <xf numFmtId="1" fontId="2" fillId="0" borderId="6" xfId="0" applyNumberFormat="1" applyFont="1" applyBorder="1" applyAlignment="1">
      <alignment horizontal="left" vertical="center" wrapText="1"/>
    </xf>
    <xf numFmtId="166" fontId="3" fillId="5" borderId="5" xfId="0" applyNumberFormat="1" applyFont="1" applyFill="1" applyBorder="1" applyAlignment="1">
      <alignment horizontal="center" vertical="center" wrapText="1"/>
    </xf>
    <xf numFmtId="166" fontId="3" fillId="5" borderId="7" xfId="0" applyNumberFormat="1" applyFont="1" applyFill="1" applyBorder="1" applyAlignment="1">
      <alignment horizontal="center" vertical="center" wrapText="1"/>
    </xf>
    <xf numFmtId="166" fontId="3" fillId="5" borderId="6" xfId="0" applyNumberFormat="1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center" vertical="center" wrapText="1"/>
    </xf>
    <xf numFmtId="0" fontId="10" fillId="9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13" borderId="11" xfId="0" applyFont="1" applyFill="1" applyBorder="1" applyAlignment="1">
      <alignment horizontal="center" vertical="center" wrapText="1"/>
    </xf>
    <xf numFmtId="0" fontId="5" fillId="13" borderId="12" xfId="0" applyFont="1" applyFill="1" applyBorder="1" applyAlignment="1">
      <alignment horizontal="center" vertical="center" wrapText="1"/>
    </xf>
    <xf numFmtId="0" fontId="5" fillId="13" borderId="1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 wrapText="1"/>
    </xf>
    <xf numFmtId="0" fontId="5" fillId="13" borderId="4" xfId="0" applyFont="1" applyFill="1" applyBorder="1" applyAlignment="1">
      <alignment horizontal="center" vertical="center" wrapText="1"/>
    </xf>
    <xf numFmtId="0" fontId="5" fillId="13" borderId="1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164" fontId="2" fillId="9" borderId="5" xfId="1" applyFont="1" applyFill="1" applyBorder="1" applyAlignment="1" applyProtection="1">
      <alignment horizontal="center" vertical="center" wrapText="1"/>
    </xf>
    <xf numFmtId="164" fontId="2" fillId="9" borderId="7" xfId="1" applyFont="1" applyFill="1" applyBorder="1" applyAlignment="1" applyProtection="1">
      <alignment horizontal="center" vertical="center" wrapText="1"/>
    </xf>
    <xf numFmtId="164" fontId="2" fillId="9" borderId="6" xfId="1" applyFont="1" applyFill="1" applyBorder="1" applyAlignment="1" applyProtection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2" fillId="9" borderId="5" xfId="0" quotePrefix="1" applyFont="1" applyFill="1" applyBorder="1" applyAlignment="1">
      <alignment horizontal="center" vertical="center" wrapText="1"/>
    </xf>
    <xf numFmtId="0" fontId="2" fillId="9" borderId="7" xfId="0" quotePrefix="1" applyFont="1" applyFill="1" applyBorder="1" applyAlignment="1">
      <alignment horizontal="center" vertical="center" wrapText="1"/>
    </xf>
    <xf numFmtId="0" fontId="2" fillId="9" borderId="6" xfId="0" quotePrefix="1" applyFont="1" applyFill="1" applyBorder="1" applyAlignment="1">
      <alignment horizontal="center" vertical="center" wrapText="1"/>
    </xf>
    <xf numFmtId="167" fontId="3" fillId="3" borderId="5" xfId="1" applyNumberFormat="1" applyFont="1" applyFill="1" applyBorder="1" applyAlignment="1" applyProtection="1">
      <alignment horizontal="center" vertical="center" wrapText="1"/>
    </xf>
    <xf numFmtId="167" fontId="3" fillId="3" borderId="7" xfId="1" applyNumberFormat="1" applyFont="1" applyFill="1" applyBorder="1" applyAlignment="1" applyProtection="1">
      <alignment horizontal="center" vertical="center" wrapText="1"/>
    </xf>
    <xf numFmtId="167" fontId="3" fillId="3" borderId="6" xfId="1" applyNumberFormat="1" applyFont="1" applyFill="1" applyBorder="1" applyAlignment="1" applyProtection="1">
      <alignment horizontal="center" vertical="center" wrapText="1"/>
    </xf>
    <xf numFmtId="0" fontId="3" fillId="13" borderId="11" xfId="0" applyFont="1" applyFill="1" applyBorder="1" applyAlignment="1">
      <alignment horizontal="center" vertical="center"/>
    </xf>
    <xf numFmtId="0" fontId="3" fillId="13" borderId="12" xfId="0" applyFont="1" applyFill="1" applyBorder="1" applyAlignment="1">
      <alignment horizontal="center" vertical="center"/>
    </xf>
    <xf numFmtId="0" fontId="3" fillId="13" borderId="13" xfId="0" applyFont="1" applyFill="1" applyBorder="1" applyAlignment="1">
      <alignment horizontal="center" vertical="center"/>
    </xf>
    <xf numFmtId="0" fontId="3" fillId="13" borderId="16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13" borderId="15" xfId="0" applyFont="1" applyFill="1" applyBorder="1" applyAlignment="1">
      <alignment horizontal="center" vertical="center"/>
    </xf>
    <xf numFmtId="1" fontId="3" fillId="12" borderId="12" xfId="0" applyNumberFormat="1" applyFont="1" applyFill="1" applyBorder="1" applyAlignment="1">
      <alignment horizontal="center" vertical="center" wrapText="1"/>
    </xf>
    <xf numFmtId="1" fontId="3" fillId="12" borderId="0" xfId="0" applyNumberFormat="1" applyFont="1" applyFill="1" applyAlignment="1">
      <alignment horizontal="center" vertical="center" wrapText="1"/>
    </xf>
    <xf numFmtId="1" fontId="3" fillId="12" borderId="4" xfId="0" applyNumberFormat="1" applyFont="1" applyFill="1" applyBorder="1" applyAlignment="1">
      <alignment horizontal="center" vertical="center" wrapText="1"/>
    </xf>
    <xf numFmtId="1" fontId="2" fillId="9" borderId="12" xfId="0" applyNumberFormat="1" applyFont="1" applyFill="1" applyBorder="1" applyAlignment="1">
      <alignment horizontal="center" vertical="center" wrapText="1"/>
    </xf>
    <xf numFmtId="1" fontId="2" fillId="9" borderId="0" xfId="0" applyNumberFormat="1" applyFont="1" applyFill="1" applyAlignment="1">
      <alignment horizontal="center" vertical="center" wrapText="1"/>
    </xf>
    <xf numFmtId="1" fontId="2" fillId="9" borderId="4" xfId="0" applyNumberFormat="1" applyFont="1" applyFill="1" applyBorder="1" applyAlignment="1">
      <alignment horizontal="center" vertical="center" wrapText="1"/>
    </xf>
    <xf numFmtId="1" fontId="3" fillId="3" borderId="12" xfId="0" applyNumberFormat="1" applyFont="1" applyFill="1" applyBorder="1" applyAlignment="1">
      <alignment horizontal="center" vertical="center" wrapText="1"/>
    </xf>
    <xf numFmtId="1" fontId="3" fillId="3" borderId="0" xfId="0" applyNumberFormat="1" applyFont="1" applyFill="1" applyAlignment="1">
      <alignment horizontal="center" vertical="center" wrapText="1"/>
    </xf>
    <xf numFmtId="1" fontId="3" fillId="3" borderId="4" xfId="0" applyNumberFormat="1" applyFont="1" applyFill="1" applyBorder="1" applyAlignment="1">
      <alignment horizontal="center" vertical="center" wrapText="1"/>
    </xf>
    <xf numFmtId="166" fontId="2" fillId="10" borderId="13" xfId="0" applyNumberFormat="1" applyFont="1" applyFill="1" applyBorder="1" applyAlignment="1">
      <alignment horizontal="center" vertical="center" wrapText="1"/>
    </xf>
    <xf numFmtId="166" fontId="2" fillId="10" borderId="15" xfId="0" applyNumberFormat="1" applyFont="1" applyFill="1" applyBorder="1" applyAlignment="1">
      <alignment horizontal="center" vertical="center" wrapText="1"/>
    </xf>
    <xf numFmtId="166" fontId="2" fillId="10" borderId="14" xfId="0" applyNumberFormat="1" applyFont="1" applyFill="1" applyBorder="1" applyAlignment="1">
      <alignment horizontal="center" vertical="center" wrapText="1"/>
    </xf>
    <xf numFmtId="166" fontId="2" fillId="10" borderId="5" xfId="0" applyNumberFormat="1" applyFont="1" applyFill="1" applyBorder="1" applyAlignment="1">
      <alignment horizontal="center" vertical="center" wrapText="1"/>
    </xf>
    <xf numFmtId="166" fontId="2" fillId="10" borderId="7" xfId="0" applyNumberFormat="1" applyFont="1" applyFill="1" applyBorder="1" applyAlignment="1">
      <alignment horizontal="center" vertical="center" wrapText="1"/>
    </xf>
    <xf numFmtId="166" fontId="2" fillId="10" borderId="6" xfId="0" applyNumberFormat="1" applyFont="1" applyFill="1" applyBorder="1" applyAlignment="1">
      <alignment horizontal="center" vertical="center" wrapText="1"/>
    </xf>
    <xf numFmtId="0" fontId="3" fillId="18" borderId="0" xfId="0" applyFont="1" applyFill="1" applyAlignment="1">
      <alignment horizontal="left" vertical="center" wrapText="1"/>
    </xf>
    <xf numFmtId="164" fontId="3" fillId="6" borderId="1" xfId="1" applyFont="1" applyFill="1" applyBorder="1" applyAlignment="1" applyProtection="1">
      <alignment horizontal="center" vertical="center" wrapText="1"/>
    </xf>
    <xf numFmtId="164" fontId="2" fillId="6" borderId="1" xfId="1" applyFont="1" applyFill="1" applyBorder="1" applyAlignment="1" applyProtection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3" fillId="13" borderId="5" xfId="0" applyFont="1" applyFill="1" applyBorder="1" applyAlignment="1">
      <alignment horizontal="center" vertical="center" wrapText="1"/>
    </xf>
    <xf numFmtId="0" fontId="13" fillId="13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1" fontId="3" fillId="6" borderId="5" xfId="0" applyNumberFormat="1" applyFont="1" applyFill="1" applyBorder="1" applyAlignment="1">
      <alignment horizontal="center" vertical="center" wrapText="1"/>
    </xf>
    <xf numFmtId="1" fontId="2" fillId="6" borderId="5" xfId="0" applyNumberFormat="1" applyFont="1" applyFill="1" applyBorder="1" applyAlignment="1">
      <alignment horizontal="center" vertical="center" wrapText="1"/>
    </xf>
    <xf numFmtId="1" fontId="2" fillId="6" borderId="7" xfId="0" applyNumberFormat="1" applyFont="1" applyFill="1" applyBorder="1" applyAlignment="1">
      <alignment horizontal="center" vertical="center" wrapText="1"/>
    </xf>
    <xf numFmtId="1" fontId="2" fillId="6" borderId="6" xfId="0" applyNumberFormat="1" applyFont="1" applyFill="1" applyBorder="1" applyAlignment="1">
      <alignment horizontal="center" vertical="center" wrapText="1"/>
    </xf>
    <xf numFmtId="1" fontId="3" fillId="3" borderId="5" xfId="0" applyNumberFormat="1" applyFont="1" applyFill="1" applyBorder="1" applyAlignment="1">
      <alignment horizontal="center" vertical="center" wrapText="1"/>
    </xf>
    <xf numFmtId="1" fontId="3" fillId="3" borderId="7" xfId="0" applyNumberFormat="1" applyFont="1" applyFill="1" applyBorder="1" applyAlignment="1">
      <alignment horizontal="center" vertical="center" wrapText="1"/>
    </xf>
    <xf numFmtId="1" fontId="3" fillId="3" borderId="6" xfId="0" applyNumberFormat="1" applyFont="1" applyFill="1" applyBorder="1" applyAlignment="1">
      <alignment horizontal="center" vertical="center" wrapText="1"/>
    </xf>
    <xf numFmtId="0" fontId="2" fillId="6" borderId="11" xfId="0" quotePrefix="1" applyFont="1" applyFill="1" applyBorder="1" applyAlignment="1">
      <alignment horizontal="center" vertical="center" wrapText="1"/>
    </xf>
    <xf numFmtId="0" fontId="2" fillId="6" borderId="16" xfId="0" quotePrefix="1" applyFont="1" applyFill="1" applyBorder="1" applyAlignment="1">
      <alignment horizontal="center" vertical="center" wrapText="1"/>
    </xf>
    <xf numFmtId="0" fontId="2" fillId="6" borderId="3" xfId="0" quotePrefix="1" applyFont="1" applyFill="1" applyBorder="1" applyAlignment="1">
      <alignment horizontal="center" vertical="center" wrapText="1"/>
    </xf>
    <xf numFmtId="166" fontId="3" fillId="11" borderId="5" xfId="0" applyNumberFormat="1" applyFont="1" applyFill="1" applyBorder="1" applyAlignment="1">
      <alignment horizontal="center" vertical="center" wrapText="1"/>
    </xf>
    <xf numFmtId="166" fontId="3" fillId="11" borderId="7" xfId="0" applyNumberFormat="1" applyFont="1" applyFill="1" applyBorder="1" applyAlignment="1">
      <alignment horizontal="center" vertical="center" wrapText="1"/>
    </xf>
    <xf numFmtId="166" fontId="3" fillId="11" borderId="6" xfId="0" applyNumberFormat="1" applyFont="1" applyFill="1" applyBorder="1" applyAlignment="1">
      <alignment horizontal="center" vertical="center" wrapText="1"/>
    </xf>
    <xf numFmtId="0" fontId="3" fillId="13" borderId="5" xfId="0" applyFont="1" applyFill="1" applyBorder="1" applyAlignment="1">
      <alignment horizontal="center" vertical="center"/>
    </xf>
    <xf numFmtId="0" fontId="3" fillId="13" borderId="7" xfId="0" applyFont="1" applyFill="1" applyBorder="1" applyAlignment="1">
      <alignment horizontal="center" vertical="center"/>
    </xf>
    <xf numFmtId="0" fontId="3" fillId="13" borderId="6" xfId="0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 wrapText="1"/>
    </xf>
    <xf numFmtId="0" fontId="2" fillId="13" borderId="7" xfId="0" applyFont="1" applyFill="1" applyBorder="1" applyAlignment="1">
      <alignment horizontal="center" vertical="center" wrapText="1"/>
    </xf>
    <xf numFmtId="0" fontId="2" fillId="13" borderId="6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1" fontId="3" fillId="12" borderId="5" xfId="0" applyNumberFormat="1" applyFont="1" applyFill="1" applyBorder="1" applyAlignment="1">
      <alignment horizontal="center" vertical="center" wrapText="1"/>
    </xf>
    <xf numFmtId="1" fontId="3" fillId="12" borderId="7" xfId="0" applyNumberFormat="1" applyFont="1" applyFill="1" applyBorder="1" applyAlignment="1">
      <alignment horizontal="center" vertical="center" wrapText="1"/>
    </xf>
    <xf numFmtId="1" fontId="3" fillId="12" borderId="6" xfId="0" applyNumberFormat="1" applyFont="1" applyFill="1" applyBorder="1" applyAlignment="1">
      <alignment horizontal="center" vertical="center" wrapText="1"/>
    </xf>
    <xf numFmtId="1" fontId="2" fillId="9" borderId="5" xfId="0" applyNumberFormat="1" applyFont="1" applyFill="1" applyBorder="1" applyAlignment="1">
      <alignment horizontal="center" vertical="center" wrapText="1"/>
    </xf>
    <xf numFmtId="1" fontId="2" fillId="9" borderId="7" xfId="0" applyNumberFormat="1" applyFont="1" applyFill="1" applyBorder="1" applyAlignment="1">
      <alignment horizontal="center" vertical="center" wrapText="1"/>
    </xf>
    <xf numFmtId="1" fontId="2" fillId="9" borderId="6" xfId="0" applyNumberFormat="1" applyFont="1" applyFill="1" applyBorder="1" applyAlignment="1">
      <alignment horizontal="center" vertical="center" wrapText="1"/>
    </xf>
    <xf numFmtId="166" fontId="2" fillId="11" borderId="5" xfId="0" applyNumberFormat="1" applyFont="1" applyFill="1" applyBorder="1" applyAlignment="1">
      <alignment horizontal="center" vertical="center"/>
    </xf>
    <xf numFmtId="166" fontId="2" fillId="11" borderId="7" xfId="0" applyNumberFormat="1" applyFont="1" applyFill="1" applyBorder="1" applyAlignment="1">
      <alignment horizontal="center" vertical="center"/>
    </xf>
    <xf numFmtId="166" fontId="2" fillId="11" borderId="6" xfId="0" applyNumberFormat="1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 wrapText="1"/>
    </xf>
    <xf numFmtId="0" fontId="5" fillId="8" borderId="1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14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1" fontId="3" fillId="2" borderId="5" xfId="0" applyNumberFormat="1" applyFont="1" applyFill="1" applyBorder="1" applyAlignment="1">
      <alignment horizontal="center" vertical="center" wrapText="1"/>
    </xf>
    <xf numFmtId="1" fontId="3" fillId="2" borderId="7" xfId="0" applyNumberFormat="1" applyFont="1" applyFill="1" applyBorder="1" applyAlignment="1">
      <alignment horizontal="center" vertical="center" wrapText="1"/>
    </xf>
    <xf numFmtId="1" fontId="3" fillId="2" borderId="6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166" fontId="3" fillId="11" borderId="5" xfId="0" applyNumberFormat="1" applyFont="1" applyFill="1" applyBorder="1" applyAlignment="1">
      <alignment horizontal="center" vertical="center"/>
    </xf>
    <xf numFmtId="166" fontId="3" fillId="11" borderId="7" xfId="0" applyNumberFormat="1" applyFont="1" applyFill="1" applyBorder="1" applyAlignment="1">
      <alignment horizontal="center" vertical="center"/>
    </xf>
    <xf numFmtId="166" fontId="3" fillId="11" borderId="6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167" fontId="2" fillId="9" borderId="5" xfId="1" applyNumberFormat="1" applyFont="1" applyFill="1" applyBorder="1" applyAlignment="1" applyProtection="1">
      <alignment horizontal="center" vertical="center" wrapText="1"/>
    </xf>
    <xf numFmtId="167" fontId="2" fillId="9" borderId="7" xfId="1" applyNumberFormat="1" applyFont="1" applyFill="1" applyBorder="1" applyAlignment="1" applyProtection="1">
      <alignment horizontal="center" vertical="center" wrapText="1"/>
    </xf>
    <xf numFmtId="167" fontId="2" fillId="9" borderId="6" xfId="1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2" fillId="6" borderId="2" xfId="0" quotePrefix="1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166" fontId="3" fillId="5" borderId="5" xfId="0" applyNumberFormat="1" applyFont="1" applyFill="1" applyBorder="1" applyAlignment="1">
      <alignment horizontal="center" vertical="center"/>
    </xf>
    <xf numFmtId="166" fontId="3" fillId="5" borderId="7" xfId="0" applyNumberFormat="1" applyFont="1" applyFill="1" applyBorder="1" applyAlignment="1">
      <alignment horizontal="center" vertical="center"/>
    </xf>
    <xf numFmtId="166" fontId="3" fillId="5" borderId="6" xfId="0" applyNumberFormat="1" applyFont="1" applyFill="1" applyBorder="1" applyAlignment="1">
      <alignment horizontal="center" vertical="center"/>
    </xf>
    <xf numFmtId="1" fontId="3" fillId="3" borderId="13" xfId="0" applyNumberFormat="1" applyFont="1" applyFill="1" applyBorder="1" applyAlignment="1">
      <alignment horizontal="center" vertical="center" wrapText="1"/>
    </xf>
    <xf numFmtId="1" fontId="3" fillId="3" borderId="15" xfId="0" applyNumberFormat="1" applyFont="1" applyFill="1" applyBorder="1" applyAlignment="1">
      <alignment horizontal="center" vertical="center" wrapText="1"/>
    </xf>
    <xf numFmtId="1" fontId="3" fillId="3" borderId="14" xfId="0" applyNumberFormat="1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2" fillId="6" borderId="5" xfId="0" quotePrefix="1" applyFont="1" applyFill="1" applyBorder="1" applyAlignment="1">
      <alignment horizontal="center" vertical="center" wrapText="1"/>
    </xf>
    <xf numFmtId="0" fontId="2" fillId="6" borderId="7" xfId="0" quotePrefix="1" applyFont="1" applyFill="1" applyBorder="1" applyAlignment="1">
      <alignment horizontal="center" vertical="center" wrapText="1"/>
    </xf>
    <xf numFmtId="0" fontId="2" fillId="6" borderId="6" xfId="0" quotePrefix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10" fillId="6" borderId="1" xfId="0" quotePrefix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 wrapText="1"/>
    </xf>
    <xf numFmtId="164" fontId="3" fillId="13" borderId="13" xfId="1" applyFont="1" applyFill="1" applyBorder="1" applyAlignment="1" applyProtection="1">
      <alignment horizontal="center" vertical="center" wrapText="1"/>
    </xf>
    <xf numFmtId="164" fontId="3" fillId="13" borderId="14" xfId="1" applyFont="1" applyFill="1" applyBorder="1" applyAlignment="1" applyProtection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1" fontId="2" fillId="9" borderId="1" xfId="0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87"/>
  <sheetViews>
    <sheetView tabSelected="1" topLeftCell="A64" zoomScale="45" zoomScaleNormal="50" workbookViewId="0">
      <selection activeCell="L87" sqref="L87"/>
    </sheetView>
  </sheetViews>
  <sheetFormatPr defaultColWidth="9.1328125" defaultRowHeight="15.4" x14ac:dyDescent="0.45"/>
  <cols>
    <col min="1" max="1" width="5.59765625" style="8" customWidth="1"/>
    <col min="2" max="2" width="48.46484375" style="8" customWidth="1"/>
    <col min="3" max="3" width="8" style="8" customWidth="1"/>
    <col min="4" max="4" width="23.1328125" style="8" customWidth="1"/>
    <col min="5" max="5" width="23.46484375" style="8" customWidth="1"/>
    <col min="6" max="6" width="24.59765625" style="8" customWidth="1"/>
    <col min="7" max="7" width="22.796875" style="8" customWidth="1"/>
    <col min="8" max="8" width="23.19921875" style="8" customWidth="1"/>
    <col min="9" max="9" width="22.9296875" style="8" customWidth="1"/>
    <col min="10" max="10" width="26.1328125" style="8" customWidth="1"/>
    <col min="11" max="11" width="26.19921875" style="8" customWidth="1"/>
    <col min="12" max="12" width="32.6640625" style="8" customWidth="1"/>
    <col min="13" max="13" width="21.33203125" style="8" customWidth="1"/>
    <col min="14" max="14" width="20.3984375" style="8" customWidth="1"/>
    <col min="15" max="16384" width="9.1328125" style="8"/>
  </cols>
  <sheetData>
    <row r="1" spans="1:14" ht="18.75" customHeight="1" x14ac:dyDescent="0.45">
      <c r="A1" s="243" t="s">
        <v>38</v>
      </c>
      <c r="B1" s="243"/>
      <c r="C1" s="243"/>
      <c r="D1" s="29"/>
      <c r="E1" s="29"/>
      <c r="F1" s="29"/>
    </row>
    <row r="2" spans="1:14" ht="18.75" customHeight="1" x14ac:dyDescent="0.45">
      <c r="A2" s="243"/>
      <c r="B2" s="243"/>
      <c r="C2" s="243"/>
      <c r="D2" s="29"/>
      <c r="E2" s="29"/>
      <c r="F2" s="29"/>
    </row>
    <row r="3" spans="1:14" ht="19.5" customHeight="1" x14ac:dyDescent="0.45">
      <c r="A3" s="244" t="s">
        <v>44</v>
      </c>
      <c r="B3" s="244"/>
      <c r="C3" s="244"/>
      <c r="D3" s="244"/>
      <c r="E3" s="244"/>
      <c r="F3" s="244"/>
      <c r="G3" s="244"/>
      <c r="H3" s="244"/>
      <c r="I3" s="244"/>
      <c r="J3" s="244"/>
      <c r="K3" s="244"/>
    </row>
    <row r="4" spans="1:14" ht="26.25" customHeight="1" x14ac:dyDescent="0.45">
      <c r="A4" s="245" t="s">
        <v>43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</row>
    <row r="5" spans="1:14" ht="9" customHeight="1" x14ac:dyDescent="0.45">
      <c r="A5" s="9"/>
      <c r="B5" s="2"/>
      <c r="C5" s="10"/>
      <c r="D5" s="10"/>
      <c r="E5" s="10"/>
      <c r="F5" s="10"/>
      <c r="G5" s="11"/>
      <c r="H5" s="11"/>
      <c r="I5" s="11"/>
      <c r="J5" s="11"/>
    </row>
    <row r="6" spans="1:14" ht="24.95" customHeight="1" x14ac:dyDescent="0.45">
      <c r="A6" s="175" t="s">
        <v>45</v>
      </c>
      <c r="B6" s="175"/>
      <c r="C6" s="175"/>
      <c r="D6" s="175"/>
      <c r="E6" s="175"/>
      <c r="F6" s="175"/>
      <c r="G6" s="175"/>
      <c r="H6" s="175"/>
      <c r="I6" s="175"/>
      <c r="J6" s="175"/>
      <c r="K6" s="175"/>
      <c r="L6" s="175"/>
      <c r="M6" s="175"/>
      <c r="N6" s="176"/>
    </row>
    <row r="7" spans="1:14" ht="24.95" customHeight="1" x14ac:dyDescent="0.45">
      <c r="A7" s="250" t="s">
        <v>0</v>
      </c>
      <c r="B7" s="250" t="s">
        <v>13</v>
      </c>
      <c r="C7" s="250" t="s">
        <v>24</v>
      </c>
      <c r="D7" s="210" t="s">
        <v>46</v>
      </c>
      <c r="E7" s="211"/>
      <c r="F7" s="210" t="s">
        <v>48</v>
      </c>
      <c r="G7" s="211"/>
      <c r="H7" s="214" t="s">
        <v>48</v>
      </c>
      <c r="I7" s="215"/>
      <c r="J7" s="115" t="s">
        <v>48</v>
      </c>
      <c r="K7" s="199"/>
      <c r="L7" s="140" t="s">
        <v>73</v>
      </c>
      <c r="M7" s="141"/>
      <c r="N7" s="142"/>
    </row>
    <row r="8" spans="1:14" ht="24.95" customHeight="1" x14ac:dyDescent="0.45">
      <c r="A8" s="251"/>
      <c r="B8" s="251"/>
      <c r="C8" s="251"/>
      <c r="D8" s="212"/>
      <c r="E8" s="213"/>
      <c r="F8" s="212"/>
      <c r="G8" s="213"/>
      <c r="H8" s="216"/>
      <c r="I8" s="217"/>
      <c r="J8" s="117"/>
      <c r="K8" s="200"/>
      <c r="L8" s="143"/>
      <c r="M8" s="144"/>
      <c r="N8" s="145"/>
    </row>
    <row r="9" spans="1:14" ht="31.5" customHeight="1" x14ac:dyDescent="0.45">
      <c r="A9" s="252"/>
      <c r="B9" s="252"/>
      <c r="C9" s="252"/>
      <c r="D9" s="30" t="s">
        <v>47</v>
      </c>
      <c r="E9" s="30" t="s">
        <v>13</v>
      </c>
      <c r="F9" s="30" t="s">
        <v>47</v>
      </c>
      <c r="G9" s="30" t="s">
        <v>13</v>
      </c>
      <c r="H9" s="30" t="s">
        <v>47</v>
      </c>
      <c r="I9" s="30" t="s">
        <v>13</v>
      </c>
      <c r="J9" s="30" t="s">
        <v>47</v>
      </c>
      <c r="K9" s="33" t="s">
        <v>13</v>
      </c>
      <c r="L9" s="34" t="s">
        <v>47</v>
      </c>
      <c r="M9" s="34" t="s">
        <v>13</v>
      </c>
      <c r="N9" s="52" t="s">
        <v>74</v>
      </c>
    </row>
    <row r="10" spans="1:14" ht="30" customHeight="1" x14ac:dyDescent="0.45">
      <c r="A10" s="223">
        <v>1</v>
      </c>
      <c r="B10" s="3" t="s">
        <v>25</v>
      </c>
      <c r="C10" s="4">
        <v>1</v>
      </c>
      <c r="D10" s="201" t="s">
        <v>49</v>
      </c>
      <c r="E10" s="204" t="s">
        <v>50</v>
      </c>
      <c r="F10" s="184" t="s">
        <v>51</v>
      </c>
      <c r="G10" s="158" t="s">
        <v>52</v>
      </c>
      <c r="H10" s="253" t="s">
        <v>53</v>
      </c>
      <c r="I10" s="158" t="s">
        <v>60</v>
      </c>
      <c r="J10" s="207"/>
      <c r="K10" s="187"/>
      <c r="L10" s="193" t="s">
        <v>175</v>
      </c>
      <c r="M10" s="196" t="s">
        <v>75</v>
      </c>
      <c r="N10" s="196" t="s">
        <v>176</v>
      </c>
    </row>
    <row r="11" spans="1:14" ht="30" customHeight="1" x14ac:dyDescent="0.45">
      <c r="A11" s="224"/>
      <c r="B11" s="3" t="s">
        <v>32</v>
      </c>
      <c r="C11" s="4">
        <v>1</v>
      </c>
      <c r="D11" s="202"/>
      <c r="E11" s="205"/>
      <c r="F11" s="185"/>
      <c r="G11" s="159"/>
      <c r="H11" s="254"/>
      <c r="I11" s="159"/>
      <c r="J11" s="208"/>
      <c r="K11" s="188"/>
      <c r="L11" s="194"/>
      <c r="M11" s="197"/>
      <c r="N11" s="197"/>
    </row>
    <row r="12" spans="1:14" ht="38.65" customHeight="1" x14ac:dyDescent="0.45">
      <c r="A12" s="225"/>
      <c r="B12" s="31" t="s">
        <v>62</v>
      </c>
      <c r="C12" s="32">
        <f t="shared" ref="C12" si="0">SUM(C10:C11)</f>
        <v>2</v>
      </c>
      <c r="D12" s="203"/>
      <c r="E12" s="206"/>
      <c r="F12" s="186"/>
      <c r="G12" s="160"/>
      <c r="H12" s="255"/>
      <c r="I12" s="160"/>
      <c r="J12" s="209"/>
      <c r="K12" s="189"/>
      <c r="L12" s="195"/>
      <c r="M12" s="198"/>
      <c r="N12" s="198"/>
    </row>
    <row r="13" spans="1:14" ht="36" customHeight="1" x14ac:dyDescent="0.45">
      <c r="A13" s="223">
        <v>2</v>
      </c>
      <c r="B13" s="3" t="s">
        <v>26</v>
      </c>
      <c r="C13" s="4">
        <v>1</v>
      </c>
      <c r="D13" s="201" t="s">
        <v>54</v>
      </c>
      <c r="E13" s="204" t="s">
        <v>55</v>
      </c>
      <c r="F13" s="184" t="s">
        <v>56</v>
      </c>
      <c r="G13" s="158" t="s">
        <v>57</v>
      </c>
      <c r="H13" s="253" t="s">
        <v>58</v>
      </c>
      <c r="I13" s="158" t="s">
        <v>59</v>
      </c>
      <c r="J13" s="235"/>
      <c r="K13" s="248"/>
      <c r="L13" s="53" t="s">
        <v>120</v>
      </c>
      <c r="M13" s="54" t="s">
        <v>177</v>
      </c>
      <c r="N13" s="54" t="s">
        <v>176</v>
      </c>
    </row>
    <row r="14" spans="1:14" ht="48" customHeight="1" x14ac:dyDescent="0.45">
      <c r="A14" s="246"/>
      <c r="B14" s="3" t="s">
        <v>33</v>
      </c>
      <c r="C14" s="4">
        <v>1</v>
      </c>
      <c r="D14" s="202"/>
      <c r="E14" s="205"/>
      <c r="F14" s="185"/>
      <c r="G14" s="159"/>
      <c r="H14" s="254"/>
      <c r="I14" s="159"/>
      <c r="J14" s="236"/>
      <c r="K14" s="249"/>
      <c r="L14" s="53" t="s">
        <v>178</v>
      </c>
      <c r="M14" s="54" t="s">
        <v>177</v>
      </c>
      <c r="N14" s="54" t="s">
        <v>176</v>
      </c>
    </row>
    <row r="15" spans="1:14" ht="67.5" customHeight="1" x14ac:dyDescent="0.45">
      <c r="A15" s="247"/>
      <c r="B15" s="31" t="s">
        <v>63</v>
      </c>
      <c r="C15" s="32">
        <f>SUM(C13:C14)</f>
        <v>2</v>
      </c>
      <c r="D15" s="203"/>
      <c r="E15" s="206"/>
      <c r="F15" s="186"/>
      <c r="G15" s="160"/>
      <c r="H15" s="255"/>
      <c r="I15" s="160"/>
      <c r="J15" s="237"/>
      <c r="K15" s="249"/>
      <c r="L15" s="53" t="s">
        <v>179</v>
      </c>
      <c r="M15" s="54" t="s">
        <v>59</v>
      </c>
      <c r="N15" s="56" t="s">
        <v>180</v>
      </c>
    </row>
    <row r="16" spans="1:14" ht="51.75" customHeight="1" x14ac:dyDescent="0.45">
      <c r="A16" s="223">
        <v>3</v>
      </c>
      <c r="B16" s="5" t="s">
        <v>29</v>
      </c>
      <c r="C16" s="6">
        <v>1</v>
      </c>
      <c r="D16" s="146" t="s">
        <v>61</v>
      </c>
      <c r="E16" s="274" t="s">
        <v>68</v>
      </c>
      <c r="F16" s="256" t="s">
        <v>69</v>
      </c>
      <c r="G16" s="158" t="s">
        <v>70</v>
      </c>
      <c r="H16" s="109" t="s">
        <v>71</v>
      </c>
      <c r="I16" s="158" t="s">
        <v>72</v>
      </c>
      <c r="J16" s="190"/>
      <c r="K16" s="248"/>
      <c r="L16" s="53" t="s">
        <v>181</v>
      </c>
      <c r="M16" s="54" t="s">
        <v>182</v>
      </c>
      <c r="N16" s="54" t="s">
        <v>183</v>
      </c>
    </row>
    <row r="17" spans="1:14" ht="50.65" customHeight="1" x14ac:dyDescent="0.45">
      <c r="A17" s="246"/>
      <c r="B17" s="5" t="s">
        <v>31</v>
      </c>
      <c r="C17" s="6">
        <v>1</v>
      </c>
      <c r="D17" s="147"/>
      <c r="E17" s="274"/>
      <c r="F17" s="257"/>
      <c r="G17" s="159"/>
      <c r="H17" s="110"/>
      <c r="I17" s="159"/>
      <c r="J17" s="191"/>
      <c r="K17" s="249"/>
      <c r="L17" s="53" t="s">
        <v>184</v>
      </c>
      <c r="M17" s="54" t="s">
        <v>185</v>
      </c>
      <c r="N17" s="54" t="s">
        <v>183</v>
      </c>
    </row>
    <row r="18" spans="1:14" ht="48.75" customHeight="1" x14ac:dyDescent="0.45">
      <c r="A18" s="247"/>
      <c r="B18" s="31" t="s">
        <v>64</v>
      </c>
      <c r="C18" s="27">
        <f>SUM(C16:C17)</f>
        <v>2</v>
      </c>
      <c r="D18" s="148"/>
      <c r="E18" s="274"/>
      <c r="F18" s="258"/>
      <c r="G18" s="160"/>
      <c r="H18" s="111"/>
      <c r="I18" s="160"/>
      <c r="J18" s="192"/>
      <c r="K18" s="249"/>
      <c r="L18" s="53" t="s">
        <v>186</v>
      </c>
      <c r="M18" s="54" t="s">
        <v>185</v>
      </c>
      <c r="N18" s="54" t="s">
        <v>183</v>
      </c>
    </row>
    <row r="19" spans="1:14" ht="48.4" customHeight="1" x14ac:dyDescent="0.45">
      <c r="A19" s="101">
        <v>4</v>
      </c>
      <c r="B19" s="5" t="s">
        <v>30</v>
      </c>
      <c r="C19" s="6">
        <v>1</v>
      </c>
      <c r="D19" s="146" t="s">
        <v>76</v>
      </c>
      <c r="E19" s="149" t="s">
        <v>235</v>
      </c>
      <c r="F19" s="152" t="s">
        <v>89</v>
      </c>
      <c r="G19" s="155" t="s">
        <v>90</v>
      </c>
      <c r="H19" s="109" t="s">
        <v>80</v>
      </c>
      <c r="I19" s="158" t="s">
        <v>82</v>
      </c>
      <c r="J19" s="109" t="s">
        <v>233</v>
      </c>
      <c r="K19" s="112" t="s">
        <v>81</v>
      </c>
      <c r="L19" s="53" t="s">
        <v>187</v>
      </c>
      <c r="M19" s="54" t="s">
        <v>78</v>
      </c>
      <c r="N19" s="57" t="s">
        <v>79</v>
      </c>
    </row>
    <row r="20" spans="1:14" ht="48.4" customHeight="1" x14ac:dyDescent="0.45">
      <c r="A20" s="102"/>
      <c r="B20" s="104" t="s">
        <v>37</v>
      </c>
      <c r="C20" s="85">
        <v>1</v>
      </c>
      <c r="D20" s="147"/>
      <c r="E20" s="150"/>
      <c r="F20" s="153"/>
      <c r="G20" s="156"/>
      <c r="H20" s="110"/>
      <c r="I20" s="159"/>
      <c r="J20" s="110"/>
      <c r="K20" s="113"/>
      <c r="L20" s="53" t="s">
        <v>230</v>
      </c>
      <c r="M20" s="54" t="s">
        <v>231</v>
      </c>
      <c r="N20" s="54" t="s">
        <v>232</v>
      </c>
    </row>
    <row r="21" spans="1:14" ht="42.75" customHeight="1" x14ac:dyDescent="0.45">
      <c r="A21" s="102"/>
      <c r="B21" s="105"/>
      <c r="C21" s="86"/>
      <c r="D21" s="147"/>
      <c r="E21" s="150"/>
      <c r="F21" s="153"/>
      <c r="G21" s="156"/>
      <c r="H21" s="110"/>
      <c r="I21" s="159"/>
      <c r="J21" s="110"/>
      <c r="K21" s="113"/>
      <c r="L21" s="53" t="s">
        <v>188</v>
      </c>
      <c r="M21" s="54" t="s">
        <v>189</v>
      </c>
      <c r="N21" s="54" t="s">
        <v>183</v>
      </c>
    </row>
    <row r="22" spans="1:14" ht="52.9" customHeight="1" x14ac:dyDescent="0.45">
      <c r="A22" s="102"/>
      <c r="B22" s="106" t="s">
        <v>28</v>
      </c>
      <c r="C22" s="82">
        <v>1</v>
      </c>
      <c r="D22" s="147"/>
      <c r="E22" s="150"/>
      <c r="F22" s="153"/>
      <c r="G22" s="156"/>
      <c r="H22" s="110"/>
      <c r="I22" s="159"/>
      <c r="J22" s="110"/>
      <c r="K22" s="113"/>
      <c r="L22" s="53" t="s">
        <v>190</v>
      </c>
      <c r="M22" s="54" t="s">
        <v>189</v>
      </c>
      <c r="N22" s="54" t="s">
        <v>183</v>
      </c>
    </row>
    <row r="23" spans="1:14" ht="52.9" customHeight="1" x14ac:dyDescent="0.45">
      <c r="A23" s="102"/>
      <c r="B23" s="107"/>
      <c r="C23" s="83"/>
      <c r="D23" s="147"/>
      <c r="E23" s="150"/>
      <c r="F23" s="153"/>
      <c r="G23" s="156"/>
      <c r="H23" s="110"/>
      <c r="I23" s="159"/>
      <c r="J23" s="110"/>
      <c r="K23" s="113"/>
      <c r="L23" s="53" t="s">
        <v>195</v>
      </c>
      <c r="M23" s="54" t="s">
        <v>196</v>
      </c>
      <c r="N23" s="54" t="s">
        <v>183</v>
      </c>
    </row>
    <row r="24" spans="1:14" ht="41.65" customHeight="1" x14ac:dyDescent="0.45">
      <c r="A24" s="102"/>
      <c r="B24" s="108"/>
      <c r="C24" s="84"/>
      <c r="D24" s="147"/>
      <c r="E24" s="150"/>
      <c r="F24" s="153"/>
      <c r="G24" s="156"/>
      <c r="H24" s="110"/>
      <c r="I24" s="159"/>
      <c r="J24" s="110"/>
      <c r="K24" s="113"/>
      <c r="L24" s="53" t="s">
        <v>193</v>
      </c>
      <c r="M24" s="54" t="s">
        <v>194</v>
      </c>
      <c r="N24" s="54" t="s">
        <v>183</v>
      </c>
    </row>
    <row r="25" spans="1:14" ht="39.75" customHeight="1" x14ac:dyDescent="0.45">
      <c r="A25" s="103"/>
      <c r="B25" s="31" t="s">
        <v>65</v>
      </c>
      <c r="C25" s="27">
        <f>SUM(C19:C22)</f>
        <v>3</v>
      </c>
      <c r="D25" s="148"/>
      <c r="E25" s="151"/>
      <c r="F25" s="154"/>
      <c r="G25" s="157"/>
      <c r="H25" s="111"/>
      <c r="I25" s="160"/>
      <c r="J25" s="111"/>
      <c r="K25" s="114"/>
      <c r="L25" s="53" t="s">
        <v>191</v>
      </c>
      <c r="M25" s="54" t="s">
        <v>192</v>
      </c>
      <c r="N25" s="54" t="s">
        <v>183</v>
      </c>
    </row>
    <row r="26" spans="1:14" ht="45.75" customHeight="1" x14ac:dyDescent="0.45">
      <c r="A26" s="228">
        <v>5</v>
      </c>
      <c r="B26" s="7" t="s">
        <v>34</v>
      </c>
      <c r="C26" s="6">
        <v>1</v>
      </c>
      <c r="D26" s="146" t="s">
        <v>83</v>
      </c>
      <c r="E26" s="149" t="s">
        <v>84</v>
      </c>
      <c r="F26" s="152" t="s">
        <v>85</v>
      </c>
      <c r="G26" s="155" t="s">
        <v>86</v>
      </c>
      <c r="H26" s="109" t="s">
        <v>87</v>
      </c>
      <c r="I26" s="158" t="s">
        <v>88</v>
      </c>
      <c r="J26" s="190"/>
      <c r="K26" s="248"/>
      <c r="L26" s="53" t="s">
        <v>197</v>
      </c>
      <c r="M26" s="54" t="s">
        <v>198</v>
      </c>
      <c r="N26" s="54" t="s">
        <v>183</v>
      </c>
    </row>
    <row r="27" spans="1:14" ht="42" customHeight="1" x14ac:dyDescent="0.45">
      <c r="A27" s="229"/>
      <c r="B27" s="7" t="s">
        <v>35</v>
      </c>
      <c r="C27" s="6">
        <v>3</v>
      </c>
      <c r="D27" s="147"/>
      <c r="E27" s="150"/>
      <c r="F27" s="153"/>
      <c r="G27" s="156"/>
      <c r="H27" s="254"/>
      <c r="I27" s="159"/>
      <c r="J27" s="191"/>
      <c r="K27" s="249"/>
      <c r="L27" s="53" t="s">
        <v>199</v>
      </c>
      <c r="M27" s="54" t="s">
        <v>198</v>
      </c>
      <c r="N27" s="54" t="s">
        <v>183</v>
      </c>
    </row>
    <row r="28" spans="1:14" ht="27.95" customHeight="1" x14ac:dyDescent="0.45">
      <c r="A28" s="229"/>
      <c r="B28" s="31" t="s">
        <v>66</v>
      </c>
      <c r="C28" s="27">
        <f>SUM(C26:C27)</f>
        <v>4</v>
      </c>
      <c r="D28" s="148"/>
      <c r="E28" s="151"/>
      <c r="F28" s="154"/>
      <c r="G28" s="157"/>
      <c r="H28" s="255"/>
      <c r="I28" s="160"/>
      <c r="J28" s="192"/>
      <c r="K28" s="249"/>
      <c r="L28" s="40"/>
      <c r="M28" s="40"/>
      <c r="N28" s="40"/>
    </row>
    <row r="29" spans="1:14" ht="45" customHeight="1" x14ac:dyDescent="0.45">
      <c r="A29" s="228">
        <v>6</v>
      </c>
      <c r="B29" s="3" t="s">
        <v>27</v>
      </c>
      <c r="C29" s="4">
        <v>1</v>
      </c>
      <c r="D29" s="238" t="s">
        <v>77</v>
      </c>
      <c r="E29" s="239" t="s">
        <v>234</v>
      </c>
      <c r="F29" s="184" t="s">
        <v>91</v>
      </c>
      <c r="G29" s="158" t="s">
        <v>92</v>
      </c>
      <c r="H29" s="109" t="s">
        <v>106</v>
      </c>
      <c r="I29" s="158" t="s">
        <v>107</v>
      </c>
      <c r="J29" s="180"/>
      <c r="K29" s="181"/>
      <c r="L29" s="53" t="s">
        <v>200</v>
      </c>
      <c r="M29" s="54" t="s">
        <v>107</v>
      </c>
      <c r="N29" s="54" t="s">
        <v>183</v>
      </c>
    </row>
    <row r="30" spans="1:14" ht="52.5" customHeight="1" x14ac:dyDescent="0.45">
      <c r="A30" s="229"/>
      <c r="B30" s="3" t="s">
        <v>36</v>
      </c>
      <c r="C30" s="4">
        <v>1</v>
      </c>
      <c r="D30" s="238"/>
      <c r="E30" s="239"/>
      <c r="F30" s="185"/>
      <c r="G30" s="159"/>
      <c r="H30" s="254"/>
      <c r="I30" s="159"/>
      <c r="J30" s="83"/>
      <c r="K30" s="182"/>
      <c r="L30" s="53" t="s">
        <v>201</v>
      </c>
      <c r="M30" s="54" t="s">
        <v>203</v>
      </c>
      <c r="N30" s="54" t="s">
        <v>183</v>
      </c>
    </row>
    <row r="31" spans="1:14" ht="49.5" customHeight="1" x14ac:dyDescent="0.45">
      <c r="A31" s="229"/>
      <c r="B31" s="31" t="s">
        <v>67</v>
      </c>
      <c r="C31" s="26">
        <f>SUM(C29:C30)</f>
        <v>2</v>
      </c>
      <c r="D31" s="238"/>
      <c r="E31" s="239"/>
      <c r="F31" s="186"/>
      <c r="G31" s="160"/>
      <c r="H31" s="255"/>
      <c r="I31" s="160"/>
      <c r="J31" s="84"/>
      <c r="K31" s="183"/>
      <c r="L31" s="53" t="s">
        <v>202</v>
      </c>
      <c r="M31" s="54" t="s">
        <v>203</v>
      </c>
      <c r="N31" s="54" t="s">
        <v>183</v>
      </c>
    </row>
    <row r="32" spans="1:14" ht="10.5" customHeight="1" x14ac:dyDescent="0.45">
      <c r="A32" s="12"/>
      <c r="B32" s="13"/>
      <c r="C32" s="14"/>
      <c r="D32" s="14"/>
      <c r="E32" s="14"/>
      <c r="F32" s="14"/>
      <c r="G32" s="15"/>
      <c r="H32" s="15"/>
      <c r="I32" s="15"/>
      <c r="J32" s="15"/>
      <c r="K32" s="16"/>
    </row>
    <row r="33" spans="1:14" ht="24.95" customHeight="1" x14ac:dyDescent="0.45">
      <c r="A33" s="161" t="s">
        <v>93</v>
      </c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</row>
    <row r="34" spans="1:14" ht="24.95" customHeight="1" x14ac:dyDescent="0.45">
      <c r="A34" s="226" t="s">
        <v>39</v>
      </c>
      <c r="B34" s="227"/>
      <c r="C34" s="227"/>
      <c r="D34" s="227"/>
      <c r="E34" s="227"/>
      <c r="F34" s="227"/>
      <c r="G34" s="227"/>
      <c r="H34" s="227"/>
      <c r="I34" s="227"/>
      <c r="J34" s="227"/>
      <c r="K34" s="227"/>
    </row>
    <row r="35" spans="1:14" s="17" customFormat="1" ht="24.95" customHeight="1" x14ac:dyDescent="0.4">
      <c r="A35" s="172" t="s">
        <v>0</v>
      </c>
      <c r="B35" s="172" t="s">
        <v>6</v>
      </c>
      <c r="C35" s="169" t="s">
        <v>94</v>
      </c>
      <c r="D35" s="115" t="s">
        <v>95</v>
      </c>
      <c r="E35" s="116"/>
      <c r="F35" s="115" t="s">
        <v>48</v>
      </c>
      <c r="G35" s="116"/>
      <c r="H35" s="115" t="s">
        <v>48</v>
      </c>
      <c r="I35" s="116"/>
      <c r="J35" s="177" t="s">
        <v>97</v>
      </c>
      <c r="K35" s="177"/>
      <c r="L35" s="177"/>
    </row>
    <row r="36" spans="1:14" s="17" customFormat="1" ht="24.95" customHeight="1" x14ac:dyDescent="0.4">
      <c r="A36" s="172"/>
      <c r="B36" s="172"/>
      <c r="C36" s="170"/>
      <c r="D36" s="117"/>
      <c r="E36" s="118"/>
      <c r="F36" s="117"/>
      <c r="G36" s="118"/>
      <c r="H36" s="117"/>
      <c r="I36" s="118"/>
      <c r="J36" s="177"/>
      <c r="K36" s="177"/>
      <c r="L36" s="177"/>
    </row>
    <row r="37" spans="1:14" s="17" customFormat="1" ht="34.5" customHeight="1" x14ac:dyDescent="0.4">
      <c r="A37" s="172"/>
      <c r="B37" s="172"/>
      <c r="C37" s="171"/>
      <c r="D37" s="21" t="s">
        <v>96</v>
      </c>
      <c r="E37" s="21" t="s">
        <v>13</v>
      </c>
      <c r="F37" s="21" t="s">
        <v>96</v>
      </c>
      <c r="G37" s="21" t="s">
        <v>13</v>
      </c>
      <c r="H37" s="21" t="s">
        <v>96</v>
      </c>
      <c r="I37" s="21" t="s">
        <v>13</v>
      </c>
      <c r="J37" s="37" t="s">
        <v>47</v>
      </c>
      <c r="K37" s="37" t="s">
        <v>13</v>
      </c>
      <c r="L37" s="35" t="s">
        <v>74</v>
      </c>
    </row>
    <row r="38" spans="1:14" ht="65.25" customHeight="1" x14ac:dyDescent="0.45">
      <c r="A38" s="18">
        <v>1</v>
      </c>
      <c r="B38" s="1" t="s">
        <v>18</v>
      </c>
      <c r="C38" s="19">
        <v>1</v>
      </c>
      <c r="D38" s="41" t="s">
        <v>98</v>
      </c>
      <c r="E38" s="42" t="s">
        <v>99</v>
      </c>
      <c r="F38" s="44" t="s">
        <v>100</v>
      </c>
      <c r="G38" s="43" t="s">
        <v>101</v>
      </c>
      <c r="H38" s="20" t="s">
        <v>102</v>
      </c>
      <c r="I38" s="43" t="s">
        <v>101</v>
      </c>
      <c r="J38" s="38" t="s">
        <v>130</v>
      </c>
      <c r="K38" s="39"/>
      <c r="L38" s="40"/>
    </row>
    <row r="39" spans="1:14" ht="24.95" customHeight="1" x14ac:dyDescent="0.45">
      <c r="A39" s="233" t="s">
        <v>40</v>
      </c>
      <c r="B39" s="234"/>
      <c r="C39" s="234"/>
      <c r="D39" s="234"/>
      <c r="E39" s="234"/>
      <c r="F39" s="234"/>
      <c r="G39" s="234"/>
      <c r="H39" s="234"/>
      <c r="I39" s="234"/>
      <c r="J39" s="234"/>
      <c r="K39" s="234"/>
    </row>
    <row r="40" spans="1:14" s="17" customFormat="1" ht="24.95" customHeight="1" x14ac:dyDescent="0.4">
      <c r="A40" s="172" t="s">
        <v>0</v>
      </c>
      <c r="B40" s="172" t="s">
        <v>6</v>
      </c>
      <c r="C40" s="169" t="s">
        <v>94</v>
      </c>
      <c r="D40" s="172" t="s">
        <v>95</v>
      </c>
      <c r="E40" s="172"/>
      <c r="F40" s="115" t="s">
        <v>48</v>
      </c>
      <c r="G40" s="116"/>
      <c r="H40" s="172" t="s">
        <v>48</v>
      </c>
      <c r="I40" s="172"/>
      <c r="J40" s="177" t="s">
        <v>97</v>
      </c>
      <c r="K40" s="177"/>
      <c r="L40" s="177"/>
    </row>
    <row r="41" spans="1:14" s="17" customFormat="1" ht="24.95" customHeight="1" x14ac:dyDescent="0.4">
      <c r="A41" s="172"/>
      <c r="B41" s="172"/>
      <c r="C41" s="170"/>
      <c r="D41" s="172"/>
      <c r="E41" s="172"/>
      <c r="F41" s="178"/>
      <c r="G41" s="179"/>
      <c r="H41" s="172"/>
      <c r="I41" s="172"/>
      <c r="J41" s="177"/>
      <c r="K41" s="177"/>
      <c r="L41" s="177"/>
    </row>
    <row r="42" spans="1:14" s="17" customFormat="1" ht="33.75" customHeight="1" x14ac:dyDescent="0.4">
      <c r="A42" s="172"/>
      <c r="B42" s="172"/>
      <c r="C42" s="171"/>
      <c r="D42" s="21" t="s">
        <v>96</v>
      </c>
      <c r="E42" s="21" t="s">
        <v>13</v>
      </c>
      <c r="F42" s="21" t="s">
        <v>96</v>
      </c>
      <c r="G42" s="21" t="s">
        <v>13</v>
      </c>
      <c r="H42" s="28" t="s">
        <v>96</v>
      </c>
      <c r="I42" s="28" t="s">
        <v>13</v>
      </c>
      <c r="J42" s="45" t="s">
        <v>47</v>
      </c>
      <c r="K42" s="45" t="s">
        <v>13</v>
      </c>
      <c r="L42" s="45" t="s">
        <v>74</v>
      </c>
    </row>
    <row r="43" spans="1:14" s="17" customFormat="1" ht="27.95" customHeight="1" x14ac:dyDescent="0.4">
      <c r="A43" s="230">
        <v>1</v>
      </c>
      <c r="B43" s="1" t="s">
        <v>19</v>
      </c>
      <c r="C43" s="22">
        <v>1</v>
      </c>
      <c r="D43" s="73" t="s">
        <v>104</v>
      </c>
      <c r="E43" s="76" t="s">
        <v>105</v>
      </c>
      <c r="F43" s="79" t="s">
        <v>108</v>
      </c>
      <c r="G43" s="129" t="s">
        <v>109</v>
      </c>
      <c r="H43" s="94" t="s">
        <v>206</v>
      </c>
      <c r="I43" s="273" t="s">
        <v>208</v>
      </c>
      <c r="J43" s="271" t="s">
        <v>204</v>
      </c>
      <c r="K43" s="173" t="s">
        <v>207</v>
      </c>
      <c r="L43" s="173" t="s">
        <v>205</v>
      </c>
    </row>
    <row r="44" spans="1:14" s="17" customFormat="1" ht="27.95" customHeight="1" x14ac:dyDescent="0.4">
      <c r="A44" s="231"/>
      <c r="B44" s="1" t="s">
        <v>21</v>
      </c>
      <c r="C44" s="22">
        <v>1</v>
      </c>
      <c r="D44" s="74"/>
      <c r="E44" s="77"/>
      <c r="F44" s="80"/>
      <c r="G44" s="130"/>
      <c r="H44" s="95"/>
      <c r="I44" s="273"/>
      <c r="J44" s="272"/>
      <c r="K44" s="174"/>
      <c r="L44" s="174"/>
    </row>
    <row r="45" spans="1:14" s="17" customFormat="1" ht="43.15" customHeight="1" x14ac:dyDescent="0.4">
      <c r="A45" s="232"/>
      <c r="B45" s="31" t="s">
        <v>103</v>
      </c>
      <c r="C45" s="24">
        <f t="shared" ref="C45" si="1">SUM(C43:C44)</f>
        <v>2</v>
      </c>
      <c r="D45" s="75"/>
      <c r="E45" s="78"/>
      <c r="F45" s="81"/>
      <c r="G45" s="131"/>
      <c r="H45" s="96"/>
      <c r="I45" s="273"/>
      <c r="J45" s="72" t="s">
        <v>110</v>
      </c>
      <c r="K45" s="54" t="s">
        <v>111</v>
      </c>
      <c r="L45" s="59" t="s">
        <v>205</v>
      </c>
    </row>
    <row r="46" spans="1:14" ht="49.5" customHeight="1" x14ac:dyDescent="0.45">
      <c r="A46" s="230">
        <v>2</v>
      </c>
      <c r="B46" s="1" t="s">
        <v>16</v>
      </c>
      <c r="C46" s="22">
        <v>1</v>
      </c>
      <c r="D46" s="73" t="s">
        <v>236</v>
      </c>
      <c r="E46" s="76" t="s">
        <v>237</v>
      </c>
      <c r="F46" s="79" t="s">
        <v>115</v>
      </c>
      <c r="G46" s="240" t="s">
        <v>116</v>
      </c>
      <c r="H46" s="137" t="s">
        <v>117</v>
      </c>
      <c r="I46" s="240" t="s">
        <v>118</v>
      </c>
      <c r="J46" s="63" t="s">
        <v>209</v>
      </c>
      <c r="K46" s="60" t="s">
        <v>210</v>
      </c>
      <c r="L46" s="55" t="s">
        <v>211</v>
      </c>
    </row>
    <row r="47" spans="1:14" ht="45" customHeight="1" x14ac:dyDescent="0.45">
      <c r="A47" s="231"/>
      <c r="B47" s="1" t="s">
        <v>17</v>
      </c>
      <c r="C47" s="22">
        <v>1</v>
      </c>
      <c r="D47" s="74"/>
      <c r="E47" s="77"/>
      <c r="F47" s="80"/>
      <c r="G47" s="241"/>
      <c r="H47" s="138"/>
      <c r="I47" s="241"/>
      <c r="J47" s="162" t="s">
        <v>130</v>
      </c>
      <c r="K47" s="163"/>
      <c r="L47" s="127"/>
    </row>
    <row r="48" spans="1:14" ht="51.75" customHeight="1" x14ac:dyDescent="0.45">
      <c r="A48" s="232"/>
      <c r="B48" s="31" t="s">
        <v>112</v>
      </c>
      <c r="C48" s="25">
        <f>SUM(C46:C47)</f>
        <v>2</v>
      </c>
      <c r="D48" s="75"/>
      <c r="E48" s="78"/>
      <c r="F48" s="81"/>
      <c r="G48" s="242"/>
      <c r="H48" s="139"/>
      <c r="I48" s="242"/>
      <c r="J48" s="162"/>
      <c r="K48" s="163"/>
      <c r="L48" s="128"/>
    </row>
    <row r="49" spans="1:12" s="97" customFormat="1" ht="15.75" customHeight="1" x14ac:dyDescent="0.45"/>
    <row r="50" spans="1:12" ht="24.95" customHeight="1" x14ac:dyDescent="0.45">
      <c r="A50" s="164" t="s">
        <v>119</v>
      </c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64"/>
    </row>
    <row r="51" spans="1:12" ht="24.95" customHeight="1" x14ac:dyDescent="0.45">
      <c r="A51" s="226" t="s">
        <v>41</v>
      </c>
      <c r="B51" s="227"/>
      <c r="C51" s="227"/>
      <c r="D51" s="227"/>
      <c r="E51" s="227"/>
      <c r="F51" s="227"/>
      <c r="G51" s="227"/>
      <c r="H51" s="227"/>
      <c r="I51" s="227"/>
      <c r="J51" s="227"/>
      <c r="K51" s="227"/>
    </row>
    <row r="52" spans="1:12" s="17" customFormat="1" ht="24.95" customHeight="1" x14ac:dyDescent="0.4">
      <c r="A52" s="172" t="s">
        <v>0</v>
      </c>
      <c r="B52" s="172" t="s">
        <v>6</v>
      </c>
      <c r="C52" s="169" t="s">
        <v>94</v>
      </c>
      <c r="D52" s="172" t="s">
        <v>95</v>
      </c>
      <c r="E52" s="172"/>
      <c r="F52" s="115" t="s">
        <v>48</v>
      </c>
      <c r="G52" s="116"/>
      <c r="H52" s="115" t="s">
        <v>48</v>
      </c>
      <c r="I52" s="116"/>
      <c r="J52" s="119" t="s">
        <v>97</v>
      </c>
      <c r="K52" s="120"/>
      <c r="L52" s="121"/>
    </row>
    <row r="53" spans="1:12" s="17" customFormat="1" ht="24.95" customHeight="1" x14ac:dyDescent="0.4">
      <c r="A53" s="172"/>
      <c r="B53" s="172"/>
      <c r="C53" s="170"/>
      <c r="D53" s="172"/>
      <c r="E53" s="172"/>
      <c r="F53" s="117"/>
      <c r="G53" s="118"/>
      <c r="H53" s="117"/>
      <c r="I53" s="118"/>
      <c r="J53" s="122"/>
      <c r="K53" s="123"/>
      <c r="L53" s="124"/>
    </row>
    <row r="54" spans="1:12" s="17" customFormat="1" ht="33" customHeight="1" x14ac:dyDescent="0.4">
      <c r="A54" s="172"/>
      <c r="B54" s="172"/>
      <c r="C54" s="171"/>
      <c r="D54" s="21" t="s">
        <v>96</v>
      </c>
      <c r="E54" s="21" t="s">
        <v>13</v>
      </c>
      <c r="F54" s="21" t="s">
        <v>96</v>
      </c>
      <c r="G54" s="21" t="s">
        <v>13</v>
      </c>
      <c r="H54" s="21" t="s">
        <v>96</v>
      </c>
      <c r="I54" s="21" t="s">
        <v>13</v>
      </c>
      <c r="J54" s="45" t="s">
        <v>96</v>
      </c>
      <c r="K54" s="45" t="s">
        <v>13</v>
      </c>
      <c r="L54" s="46" t="s">
        <v>74</v>
      </c>
    </row>
    <row r="55" spans="1:12" ht="48.4" customHeight="1" x14ac:dyDescent="0.45">
      <c r="A55" s="18">
        <v>1</v>
      </c>
      <c r="B55" s="1" t="s">
        <v>9</v>
      </c>
      <c r="C55" s="19">
        <v>1</v>
      </c>
      <c r="D55" s="47" t="s">
        <v>120</v>
      </c>
      <c r="E55" s="48" t="s">
        <v>122</v>
      </c>
      <c r="F55" s="50" t="s">
        <v>124</v>
      </c>
      <c r="G55" s="49" t="s">
        <v>126</v>
      </c>
      <c r="H55" s="31" t="s">
        <v>128</v>
      </c>
      <c r="I55" s="49" t="s">
        <v>126</v>
      </c>
      <c r="J55" s="125" t="s">
        <v>130</v>
      </c>
      <c r="K55" s="125"/>
      <c r="L55" s="127"/>
    </row>
    <row r="56" spans="1:12" ht="36.4" customHeight="1" x14ac:dyDescent="0.45">
      <c r="A56" s="18">
        <v>2</v>
      </c>
      <c r="B56" s="1" t="s">
        <v>5</v>
      </c>
      <c r="C56" s="19">
        <v>1</v>
      </c>
      <c r="D56" s="47" t="s">
        <v>121</v>
      </c>
      <c r="E56" s="48" t="s">
        <v>123</v>
      </c>
      <c r="F56" s="50" t="s">
        <v>125</v>
      </c>
      <c r="G56" s="49" t="s">
        <v>127</v>
      </c>
      <c r="H56" s="31" t="s">
        <v>129</v>
      </c>
      <c r="I56" s="49" t="s">
        <v>127</v>
      </c>
      <c r="J56" s="126"/>
      <c r="K56" s="126"/>
      <c r="L56" s="128"/>
    </row>
    <row r="57" spans="1:12" ht="27.95" customHeight="1" x14ac:dyDescent="0.45">
      <c r="A57" s="233" t="s">
        <v>42</v>
      </c>
      <c r="B57" s="234"/>
      <c r="C57" s="234"/>
      <c r="D57" s="234"/>
      <c r="E57" s="234"/>
      <c r="F57" s="234"/>
      <c r="G57" s="234"/>
      <c r="H57" s="234"/>
      <c r="I57" s="234"/>
      <c r="J57" s="234"/>
      <c r="K57" s="234"/>
    </row>
    <row r="58" spans="1:12" s="17" customFormat="1" ht="24.95" customHeight="1" x14ac:dyDescent="0.4">
      <c r="A58" s="172" t="s">
        <v>0</v>
      </c>
      <c r="B58" s="172" t="s">
        <v>6</v>
      </c>
      <c r="C58" s="169" t="s">
        <v>94</v>
      </c>
      <c r="D58" s="115" t="s">
        <v>95</v>
      </c>
      <c r="E58" s="116"/>
      <c r="F58" s="115" t="s">
        <v>48</v>
      </c>
      <c r="G58" s="116"/>
      <c r="H58" s="115" t="s">
        <v>48</v>
      </c>
      <c r="I58" s="116"/>
      <c r="J58" s="119" t="s">
        <v>97</v>
      </c>
      <c r="K58" s="120"/>
      <c r="L58" s="121"/>
    </row>
    <row r="59" spans="1:12" s="17" customFormat="1" ht="24.95" customHeight="1" x14ac:dyDescent="0.4">
      <c r="A59" s="172"/>
      <c r="B59" s="172"/>
      <c r="C59" s="170"/>
      <c r="D59" s="117"/>
      <c r="E59" s="118"/>
      <c r="F59" s="117"/>
      <c r="G59" s="118"/>
      <c r="H59" s="117"/>
      <c r="I59" s="118"/>
      <c r="J59" s="122"/>
      <c r="K59" s="123"/>
      <c r="L59" s="124"/>
    </row>
    <row r="60" spans="1:12" s="17" customFormat="1" ht="36" customHeight="1" x14ac:dyDescent="0.4">
      <c r="A60" s="172"/>
      <c r="B60" s="172"/>
      <c r="C60" s="171"/>
      <c r="D60" s="21" t="s">
        <v>96</v>
      </c>
      <c r="E60" s="21" t="s">
        <v>13</v>
      </c>
      <c r="F60" s="21" t="s">
        <v>96</v>
      </c>
      <c r="G60" s="21" t="s">
        <v>13</v>
      </c>
      <c r="H60" s="21" t="s">
        <v>96</v>
      </c>
      <c r="I60" s="21" t="s">
        <v>13</v>
      </c>
      <c r="J60" s="45" t="s">
        <v>96</v>
      </c>
      <c r="K60" s="45" t="s">
        <v>13</v>
      </c>
      <c r="L60" s="46" t="s">
        <v>74</v>
      </c>
    </row>
    <row r="61" spans="1:12" ht="25.5" customHeight="1" x14ac:dyDescent="0.45">
      <c r="A61" s="218">
        <v>1</v>
      </c>
      <c r="B61" s="1" t="s">
        <v>2</v>
      </c>
      <c r="C61" s="22">
        <v>1</v>
      </c>
      <c r="D61" s="73" t="s">
        <v>132</v>
      </c>
      <c r="E61" s="76" t="s">
        <v>133</v>
      </c>
      <c r="F61" s="79" t="s">
        <v>134</v>
      </c>
      <c r="G61" s="134" t="s">
        <v>135</v>
      </c>
      <c r="H61" s="98" t="s">
        <v>214</v>
      </c>
      <c r="I61" s="134" t="s">
        <v>215</v>
      </c>
      <c r="J61" s="62"/>
      <c r="K61" s="61"/>
      <c r="L61" s="40"/>
    </row>
    <row r="62" spans="1:12" ht="63.75" customHeight="1" x14ac:dyDescent="0.45">
      <c r="A62" s="219"/>
      <c r="B62" s="1" t="s">
        <v>8</v>
      </c>
      <c r="C62" s="22">
        <v>1</v>
      </c>
      <c r="D62" s="74"/>
      <c r="E62" s="77"/>
      <c r="F62" s="80"/>
      <c r="G62" s="135"/>
      <c r="H62" s="99"/>
      <c r="I62" s="135"/>
      <c r="J62" s="64" t="s">
        <v>212</v>
      </c>
      <c r="K62" s="60" t="s">
        <v>137</v>
      </c>
      <c r="L62" s="65" t="s">
        <v>213</v>
      </c>
    </row>
    <row r="63" spans="1:12" ht="62.25" customHeight="1" x14ac:dyDescent="0.45">
      <c r="A63" s="220"/>
      <c r="B63" s="31" t="s">
        <v>131</v>
      </c>
      <c r="C63" s="24">
        <f t="shared" ref="C63" si="2">SUM(C61:C62)</f>
        <v>2</v>
      </c>
      <c r="D63" s="75"/>
      <c r="E63" s="78"/>
      <c r="F63" s="81"/>
      <c r="G63" s="136"/>
      <c r="H63" s="100"/>
      <c r="I63" s="136"/>
      <c r="J63" s="64" t="s">
        <v>136</v>
      </c>
      <c r="K63" s="60" t="s">
        <v>137</v>
      </c>
      <c r="L63" s="65" t="s">
        <v>217</v>
      </c>
    </row>
    <row r="64" spans="1:12" ht="62.25" customHeight="1" x14ac:dyDescent="0.45">
      <c r="A64" s="218">
        <v>2</v>
      </c>
      <c r="B64" s="1" t="s">
        <v>4</v>
      </c>
      <c r="C64" s="22">
        <v>1</v>
      </c>
      <c r="D64" s="73" t="s">
        <v>139</v>
      </c>
      <c r="E64" s="76" t="s">
        <v>140</v>
      </c>
      <c r="F64" s="79" t="s">
        <v>141</v>
      </c>
      <c r="G64" s="134" t="s">
        <v>142</v>
      </c>
      <c r="H64" s="98" t="s">
        <v>173</v>
      </c>
      <c r="I64" s="134" t="s">
        <v>174</v>
      </c>
      <c r="J64" s="88" t="s">
        <v>130</v>
      </c>
      <c r="K64" s="91"/>
      <c r="L64" s="91"/>
    </row>
    <row r="65" spans="1:14" ht="46.15" customHeight="1" x14ac:dyDescent="0.45">
      <c r="A65" s="219"/>
      <c r="B65" s="1" t="s">
        <v>12</v>
      </c>
      <c r="C65" s="22">
        <v>1</v>
      </c>
      <c r="D65" s="74"/>
      <c r="E65" s="77"/>
      <c r="F65" s="80"/>
      <c r="G65" s="135"/>
      <c r="H65" s="99"/>
      <c r="I65" s="135"/>
      <c r="J65" s="89"/>
      <c r="K65" s="92"/>
      <c r="L65" s="92"/>
    </row>
    <row r="66" spans="1:14" ht="39.75" customHeight="1" x14ac:dyDescent="0.45">
      <c r="A66" s="220"/>
      <c r="B66" s="51" t="s">
        <v>138</v>
      </c>
      <c r="C66" s="24">
        <f t="shared" ref="C66" si="3">SUM(C64:C65)</f>
        <v>2</v>
      </c>
      <c r="D66" s="75"/>
      <c r="E66" s="78"/>
      <c r="F66" s="81"/>
      <c r="G66" s="136"/>
      <c r="H66" s="100"/>
      <c r="I66" s="136"/>
      <c r="J66" s="90"/>
      <c r="K66" s="93"/>
      <c r="L66" s="93"/>
      <c r="N66" s="23"/>
    </row>
    <row r="67" spans="1:14" x14ac:dyDescent="0.45">
      <c r="I67" s="87"/>
      <c r="J67" s="87"/>
      <c r="K67" s="87"/>
      <c r="L67" s="87"/>
    </row>
    <row r="68" spans="1:14" ht="24.95" customHeight="1" x14ac:dyDescent="0.45">
      <c r="A68" s="221" t="s">
        <v>144</v>
      </c>
      <c r="B68" s="221"/>
      <c r="C68" s="221"/>
      <c r="D68" s="221"/>
      <c r="E68" s="221"/>
      <c r="F68" s="221"/>
      <c r="G68" s="221"/>
      <c r="H68" s="221"/>
      <c r="I68" s="221"/>
      <c r="J68" s="221"/>
      <c r="K68" s="221"/>
      <c r="L68" s="222"/>
    </row>
    <row r="69" spans="1:14" s="17" customFormat="1" ht="24.95" customHeight="1" x14ac:dyDescent="0.4">
      <c r="A69" s="172" t="s">
        <v>0</v>
      </c>
      <c r="B69" s="172" t="s">
        <v>6</v>
      </c>
      <c r="C69" s="169" t="s">
        <v>94</v>
      </c>
      <c r="D69" s="115" t="s">
        <v>95</v>
      </c>
      <c r="E69" s="116"/>
      <c r="F69" s="115" t="s">
        <v>48</v>
      </c>
      <c r="G69" s="116"/>
      <c r="H69" s="115" t="s">
        <v>48</v>
      </c>
      <c r="I69" s="116"/>
      <c r="J69" s="119" t="s">
        <v>97</v>
      </c>
      <c r="K69" s="120"/>
      <c r="L69" s="121"/>
    </row>
    <row r="70" spans="1:14" s="17" customFormat="1" ht="24.95" customHeight="1" x14ac:dyDescent="0.4">
      <c r="A70" s="172"/>
      <c r="B70" s="172"/>
      <c r="C70" s="170"/>
      <c r="D70" s="117"/>
      <c r="E70" s="118"/>
      <c r="F70" s="117"/>
      <c r="G70" s="118"/>
      <c r="H70" s="117"/>
      <c r="I70" s="118"/>
      <c r="J70" s="122"/>
      <c r="K70" s="123"/>
      <c r="L70" s="124"/>
    </row>
    <row r="71" spans="1:14" s="17" customFormat="1" ht="33.75" customHeight="1" x14ac:dyDescent="0.4">
      <c r="A71" s="172"/>
      <c r="B71" s="172"/>
      <c r="C71" s="171"/>
      <c r="D71" s="21" t="s">
        <v>96</v>
      </c>
      <c r="E71" s="21" t="s">
        <v>13</v>
      </c>
      <c r="F71" s="21" t="s">
        <v>96</v>
      </c>
      <c r="G71" s="21" t="s">
        <v>13</v>
      </c>
      <c r="H71" s="21" t="s">
        <v>96</v>
      </c>
      <c r="I71" s="21" t="s">
        <v>13</v>
      </c>
      <c r="J71" s="45" t="s">
        <v>96</v>
      </c>
      <c r="K71" s="45" t="s">
        <v>13</v>
      </c>
      <c r="L71" s="46" t="s">
        <v>74</v>
      </c>
    </row>
    <row r="72" spans="1:14" s="17" customFormat="1" ht="81" customHeight="1" x14ac:dyDescent="0.4">
      <c r="A72" s="260">
        <v>1</v>
      </c>
      <c r="B72" s="1" t="s">
        <v>15</v>
      </c>
      <c r="C72" s="19">
        <v>1</v>
      </c>
      <c r="D72" s="73" t="s">
        <v>150</v>
      </c>
      <c r="E72" s="76" t="s">
        <v>151</v>
      </c>
      <c r="F72" s="79" t="s">
        <v>152</v>
      </c>
      <c r="G72" s="76" t="s">
        <v>153</v>
      </c>
      <c r="H72" s="79" t="s">
        <v>154</v>
      </c>
      <c r="I72" s="76" t="s">
        <v>155</v>
      </c>
      <c r="J72" s="66" t="s">
        <v>218</v>
      </c>
      <c r="K72" s="60" t="s">
        <v>219</v>
      </c>
      <c r="L72" s="57" t="s">
        <v>220</v>
      </c>
    </row>
    <row r="73" spans="1:14" ht="39.75" customHeight="1" x14ac:dyDescent="0.45">
      <c r="A73" s="261"/>
      <c r="B73" s="1" t="s">
        <v>7</v>
      </c>
      <c r="C73" s="22">
        <v>1</v>
      </c>
      <c r="D73" s="74"/>
      <c r="E73" s="77"/>
      <c r="F73" s="80"/>
      <c r="G73" s="77"/>
      <c r="H73" s="80"/>
      <c r="I73" s="77"/>
      <c r="J73" s="66" t="s">
        <v>221</v>
      </c>
      <c r="K73" s="60" t="s">
        <v>224</v>
      </c>
      <c r="L73" s="55" t="s">
        <v>222</v>
      </c>
    </row>
    <row r="74" spans="1:14" ht="27.95" customHeight="1" x14ac:dyDescent="0.45">
      <c r="A74" s="262"/>
      <c r="B74" s="31" t="s">
        <v>145</v>
      </c>
      <c r="C74" s="24">
        <v>1</v>
      </c>
      <c r="D74" s="75"/>
      <c r="E74" s="78"/>
      <c r="F74" s="81"/>
      <c r="G74" s="78"/>
      <c r="H74" s="81"/>
      <c r="I74" s="78"/>
      <c r="J74" s="67"/>
      <c r="K74" s="68"/>
      <c r="L74" s="40"/>
    </row>
    <row r="75" spans="1:14" ht="44.25" customHeight="1" x14ac:dyDescent="0.45">
      <c r="A75" s="179">
        <v>2</v>
      </c>
      <c r="B75" s="1" t="s">
        <v>22</v>
      </c>
      <c r="C75" s="19">
        <v>1</v>
      </c>
      <c r="D75" s="73" t="s">
        <v>156</v>
      </c>
      <c r="E75" s="76" t="s">
        <v>157</v>
      </c>
      <c r="F75" s="79" t="s">
        <v>158</v>
      </c>
      <c r="G75" s="113" t="s">
        <v>159</v>
      </c>
      <c r="H75" s="132" t="s">
        <v>113</v>
      </c>
      <c r="I75" s="112" t="s">
        <v>114</v>
      </c>
      <c r="J75" s="36" t="s">
        <v>223</v>
      </c>
      <c r="K75" s="60" t="s">
        <v>161</v>
      </c>
      <c r="L75" s="55" t="s">
        <v>216</v>
      </c>
    </row>
    <row r="76" spans="1:14" ht="27.95" customHeight="1" x14ac:dyDescent="0.45">
      <c r="A76" s="179"/>
      <c r="B76" s="1" t="s">
        <v>3</v>
      </c>
      <c r="C76" s="22">
        <v>1</v>
      </c>
      <c r="D76" s="74"/>
      <c r="E76" s="77"/>
      <c r="F76" s="80"/>
      <c r="G76" s="113"/>
      <c r="H76" s="132"/>
      <c r="I76" s="113"/>
      <c r="J76" s="125"/>
      <c r="K76" s="165"/>
      <c r="L76" s="127"/>
    </row>
    <row r="77" spans="1:14" ht="27.95" customHeight="1" x14ac:dyDescent="0.45">
      <c r="A77" s="118"/>
      <c r="B77" s="31" t="s">
        <v>146</v>
      </c>
      <c r="C77" s="24">
        <f>SUM(C75:C76)</f>
        <v>2</v>
      </c>
      <c r="D77" s="75"/>
      <c r="E77" s="78"/>
      <c r="F77" s="81"/>
      <c r="G77" s="114"/>
      <c r="H77" s="133"/>
      <c r="I77" s="114"/>
      <c r="J77" s="126"/>
      <c r="K77" s="166"/>
      <c r="L77" s="128"/>
    </row>
    <row r="78" spans="1:14" ht="27.75" customHeight="1" x14ac:dyDescent="0.45">
      <c r="A78" s="172">
        <v>3</v>
      </c>
      <c r="B78" s="1" t="s">
        <v>20</v>
      </c>
      <c r="C78" s="19">
        <v>1</v>
      </c>
      <c r="D78" s="73" t="s">
        <v>162</v>
      </c>
      <c r="E78" s="76" t="s">
        <v>163</v>
      </c>
      <c r="F78" s="79" t="s">
        <v>164</v>
      </c>
      <c r="G78" s="113" t="s">
        <v>165</v>
      </c>
      <c r="H78" s="132" t="s">
        <v>166</v>
      </c>
      <c r="I78" s="112" t="s">
        <v>167</v>
      </c>
      <c r="J78" s="125" t="s">
        <v>130</v>
      </c>
      <c r="K78" s="263"/>
      <c r="L78" s="127"/>
    </row>
    <row r="79" spans="1:14" ht="27.95" customHeight="1" x14ac:dyDescent="0.45">
      <c r="A79" s="172"/>
      <c r="B79" s="1" t="s">
        <v>1</v>
      </c>
      <c r="C79" s="22">
        <v>1</v>
      </c>
      <c r="D79" s="74"/>
      <c r="E79" s="77"/>
      <c r="F79" s="80"/>
      <c r="G79" s="113"/>
      <c r="H79" s="132"/>
      <c r="I79" s="113"/>
      <c r="J79" s="167"/>
      <c r="K79" s="264"/>
      <c r="L79" s="168"/>
    </row>
    <row r="80" spans="1:14" ht="27.95" customHeight="1" x14ac:dyDescent="0.45">
      <c r="A80" s="172"/>
      <c r="B80" s="31" t="s">
        <v>147</v>
      </c>
      <c r="C80" s="24">
        <f>SUM(C78:C79)</f>
        <v>2</v>
      </c>
      <c r="D80" s="75"/>
      <c r="E80" s="78"/>
      <c r="F80" s="81"/>
      <c r="G80" s="114"/>
      <c r="H80" s="133"/>
      <c r="I80" s="114"/>
      <c r="J80" s="126"/>
      <c r="K80" s="265"/>
      <c r="L80" s="128"/>
    </row>
    <row r="81" spans="1:12" ht="47.25" customHeight="1" x14ac:dyDescent="0.45">
      <c r="A81" s="179">
        <v>4</v>
      </c>
      <c r="B81" s="1" t="s">
        <v>14</v>
      </c>
      <c r="C81" s="19">
        <v>1</v>
      </c>
      <c r="D81" s="73" t="s">
        <v>169</v>
      </c>
      <c r="E81" s="76" t="s">
        <v>239</v>
      </c>
      <c r="F81" s="132" t="s">
        <v>172</v>
      </c>
      <c r="G81" s="112" t="s">
        <v>238</v>
      </c>
      <c r="H81" s="132" t="s">
        <v>160</v>
      </c>
      <c r="I81" s="112" t="s">
        <v>161</v>
      </c>
      <c r="J81" s="36" t="s">
        <v>225</v>
      </c>
      <c r="K81" s="60" t="s">
        <v>226</v>
      </c>
      <c r="L81" s="55" t="s">
        <v>216</v>
      </c>
    </row>
    <row r="82" spans="1:12" ht="36" customHeight="1" x14ac:dyDescent="0.45">
      <c r="A82" s="179"/>
      <c r="B82" s="1" t="s">
        <v>10</v>
      </c>
      <c r="C82" s="22">
        <v>1</v>
      </c>
      <c r="D82" s="74"/>
      <c r="E82" s="77"/>
      <c r="F82" s="132"/>
      <c r="G82" s="113"/>
      <c r="H82" s="132"/>
      <c r="I82" s="113"/>
      <c r="J82" s="36" t="s">
        <v>199</v>
      </c>
      <c r="K82" s="58" t="s">
        <v>171</v>
      </c>
      <c r="L82" s="55" t="s">
        <v>216</v>
      </c>
    </row>
    <row r="83" spans="1:12" ht="42" customHeight="1" x14ac:dyDescent="0.45">
      <c r="A83" s="118"/>
      <c r="B83" s="31" t="s">
        <v>148</v>
      </c>
      <c r="C83" s="24">
        <f>SUM(C81:C82)</f>
        <v>2</v>
      </c>
      <c r="D83" s="75"/>
      <c r="E83" s="78"/>
      <c r="F83" s="133"/>
      <c r="G83" s="114"/>
      <c r="H83" s="133"/>
      <c r="I83" s="114"/>
      <c r="J83" s="270" t="s">
        <v>170</v>
      </c>
      <c r="K83" s="58" t="s">
        <v>171</v>
      </c>
      <c r="L83" s="55" t="s">
        <v>216</v>
      </c>
    </row>
    <row r="84" spans="1:12" ht="44.25" customHeight="1" x14ac:dyDescent="0.45">
      <c r="A84" s="179">
        <v>5</v>
      </c>
      <c r="B84" s="1" t="s">
        <v>23</v>
      </c>
      <c r="C84" s="19">
        <v>1</v>
      </c>
      <c r="D84" s="73" t="s">
        <v>168</v>
      </c>
      <c r="E84" s="76" t="s">
        <v>240</v>
      </c>
      <c r="F84" s="79" t="s">
        <v>143</v>
      </c>
      <c r="G84" s="113" t="s">
        <v>241</v>
      </c>
      <c r="H84" s="132" t="s">
        <v>227</v>
      </c>
      <c r="I84" s="112" t="s">
        <v>242</v>
      </c>
      <c r="J84" s="69"/>
      <c r="K84" s="268"/>
      <c r="L84" s="269"/>
    </row>
    <row r="85" spans="1:12" ht="42" customHeight="1" x14ac:dyDescent="0.45">
      <c r="A85" s="266"/>
      <c r="B85" s="1" t="s">
        <v>11</v>
      </c>
      <c r="C85" s="22">
        <v>1</v>
      </c>
      <c r="D85" s="74"/>
      <c r="E85" s="77"/>
      <c r="F85" s="80"/>
      <c r="G85" s="113"/>
      <c r="H85" s="132"/>
      <c r="I85" s="113"/>
      <c r="J85" s="36" t="s">
        <v>228</v>
      </c>
      <c r="K85" s="58" t="s">
        <v>229</v>
      </c>
      <c r="L85" s="55" t="s">
        <v>216</v>
      </c>
    </row>
    <row r="86" spans="1:12" ht="28.5" customHeight="1" x14ac:dyDescent="0.45">
      <c r="A86" s="267"/>
      <c r="B86" s="31" t="s">
        <v>149</v>
      </c>
      <c r="C86" s="24">
        <f>SUM(C84+C85)</f>
        <v>2</v>
      </c>
      <c r="D86" s="75"/>
      <c r="E86" s="78"/>
      <c r="F86" s="81"/>
      <c r="G86" s="114"/>
      <c r="H86" s="133"/>
      <c r="I86" s="114"/>
      <c r="J86" s="69"/>
      <c r="K86" s="70"/>
      <c r="L86" s="40"/>
    </row>
    <row r="87" spans="1:12" ht="28.15" customHeight="1" x14ac:dyDescent="0.45">
      <c r="A87" s="259"/>
      <c r="B87" s="259"/>
      <c r="C87" s="259"/>
      <c r="D87" s="259"/>
      <c r="E87" s="259"/>
      <c r="F87" s="259"/>
      <c r="G87" s="259"/>
      <c r="H87" s="259"/>
      <c r="I87" s="259"/>
      <c r="J87" s="259"/>
      <c r="K87" s="259"/>
      <c r="L87" s="71"/>
    </row>
  </sheetData>
  <mergeCells count="200">
    <mergeCell ref="G84:G86"/>
    <mergeCell ref="G81:G83"/>
    <mergeCell ref="A84:A86"/>
    <mergeCell ref="H84:H86"/>
    <mergeCell ref="D81:D83"/>
    <mergeCell ref="E81:E83"/>
    <mergeCell ref="F81:F83"/>
    <mergeCell ref="D84:D86"/>
    <mergeCell ref="E84:E86"/>
    <mergeCell ref="F84:F86"/>
    <mergeCell ref="A87:K87"/>
    <mergeCell ref="A72:A74"/>
    <mergeCell ref="K26:K28"/>
    <mergeCell ref="A34:K34"/>
    <mergeCell ref="A35:A37"/>
    <mergeCell ref="B35:B37"/>
    <mergeCell ref="H26:H28"/>
    <mergeCell ref="H29:H31"/>
    <mergeCell ref="A75:A77"/>
    <mergeCell ref="A78:A80"/>
    <mergeCell ref="G72:G74"/>
    <mergeCell ref="G75:G77"/>
    <mergeCell ref="G78:G80"/>
    <mergeCell ref="K78:K80"/>
    <mergeCell ref="H78:H80"/>
    <mergeCell ref="A81:A83"/>
    <mergeCell ref="H81:H83"/>
    <mergeCell ref="D72:D74"/>
    <mergeCell ref="E72:E74"/>
    <mergeCell ref="F72:F74"/>
    <mergeCell ref="I72:I74"/>
    <mergeCell ref="D75:D77"/>
    <mergeCell ref="E75:E77"/>
    <mergeCell ref="F75:F77"/>
    <mergeCell ref="A1:C1"/>
    <mergeCell ref="A2:C2"/>
    <mergeCell ref="A3:K3"/>
    <mergeCell ref="A4:K4"/>
    <mergeCell ref="A16:A18"/>
    <mergeCell ref="K16:K18"/>
    <mergeCell ref="C7:C9"/>
    <mergeCell ref="A57:K57"/>
    <mergeCell ref="A46:A48"/>
    <mergeCell ref="A13:A15"/>
    <mergeCell ref="K13:K15"/>
    <mergeCell ref="A7:A9"/>
    <mergeCell ref="B7:B9"/>
    <mergeCell ref="G10:G12"/>
    <mergeCell ref="G13:G15"/>
    <mergeCell ref="H10:H12"/>
    <mergeCell ref="H13:H15"/>
    <mergeCell ref="H16:H18"/>
    <mergeCell ref="J16:J18"/>
    <mergeCell ref="D16:D18"/>
    <mergeCell ref="E16:E18"/>
    <mergeCell ref="F16:F18"/>
    <mergeCell ref="I16:I18"/>
    <mergeCell ref="I13:I15"/>
    <mergeCell ref="A10:A12"/>
    <mergeCell ref="A51:K51"/>
    <mergeCell ref="K55:K56"/>
    <mergeCell ref="A29:A31"/>
    <mergeCell ref="A43:A45"/>
    <mergeCell ref="A40:A42"/>
    <mergeCell ref="B40:B42"/>
    <mergeCell ref="G29:G31"/>
    <mergeCell ref="G26:G28"/>
    <mergeCell ref="A26:A28"/>
    <mergeCell ref="A39:K39"/>
    <mergeCell ref="A52:A54"/>
    <mergeCell ref="B52:B54"/>
    <mergeCell ref="J13:J15"/>
    <mergeCell ref="G16:G18"/>
    <mergeCell ref="D13:D15"/>
    <mergeCell ref="E13:E15"/>
    <mergeCell ref="F13:F15"/>
    <mergeCell ref="D29:D31"/>
    <mergeCell ref="E29:E31"/>
    <mergeCell ref="G46:G48"/>
    <mergeCell ref="I46:I48"/>
    <mergeCell ref="D43:D45"/>
    <mergeCell ref="E43:E45"/>
    <mergeCell ref="A61:A63"/>
    <mergeCell ref="A64:A66"/>
    <mergeCell ref="A58:A60"/>
    <mergeCell ref="B58:B60"/>
    <mergeCell ref="C58:C60"/>
    <mergeCell ref="D58:E59"/>
    <mergeCell ref="F58:G59"/>
    <mergeCell ref="H58:I59"/>
    <mergeCell ref="A69:A71"/>
    <mergeCell ref="B69:B71"/>
    <mergeCell ref="I61:I63"/>
    <mergeCell ref="D64:D66"/>
    <mergeCell ref="E64:E66"/>
    <mergeCell ref="F64:F66"/>
    <mergeCell ref="G64:G66"/>
    <mergeCell ref="H64:H66"/>
    <mergeCell ref="I64:I66"/>
    <mergeCell ref="C69:C71"/>
    <mergeCell ref="D69:E70"/>
    <mergeCell ref="F69:G70"/>
    <mergeCell ref="H69:I70"/>
    <mergeCell ref="A68:L68"/>
    <mergeCell ref="J58:L59"/>
    <mergeCell ref="D61:D63"/>
    <mergeCell ref="J7:K8"/>
    <mergeCell ref="D10:D12"/>
    <mergeCell ref="E10:E12"/>
    <mergeCell ref="F10:F12"/>
    <mergeCell ref="I10:I12"/>
    <mergeCell ref="J10:J12"/>
    <mergeCell ref="D7:E8"/>
    <mergeCell ref="F7:G8"/>
    <mergeCell ref="H7:I8"/>
    <mergeCell ref="A6:N6"/>
    <mergeCell ref="J35:L36"/>
    <mergeCell ref="C40:C42"/>
    <mergeCell ref="D40:E41"/>
    <mergeCell ref="F40:G41"/>
    <mergeCell ref="H40:I41"/>
    <mergeCell ref="J40:L41"/>
    <mergeCell ref="J29:J31"/>
    <mergeCell ref="K29:K31"/>
    <mergeCell ref="F29:F31"/>
    <mergeCell ref="I29:I31"/>
    <mergeCell ref="C35:C37"/>
    <mergeCell ref="D35:E36"/>
    <mergeCell ref="F35:G36"/>
    <mergeCell ref="H35:I36"/>
    <mergeCell ref="K10:K12"/>
    <mergeCell ref="D26:D28"/>
    <mergeCell ref="E26:E28"/>
    <mergeCell ref="F26:F28"/>
    <mergeCell ref="I26:I28"/>
    <mergeCell ref="J26:J28"/>
    <mergeCell ref="L10:L12"/>
    <mergeCell ref="M10:M12"/>
    <mergeCell ref="N10:N12"/>
    <mergeCell ref="I84:I86"/>
    <mergeCell ref="L7:N8"/>
    <mergeCell ref="D19:D25"/>
    <mergeCell ref="E19:E25"/>
    <mergeCell ref="F19:F25"/>
    <mergeCell ref="G19:G25"/>
    <mergeCell ref="H19:H25"/>
    <mergeCell ref="I19:I25"/>
    <mergeCell ref="A33:N33"/>
    <mergeCell ref="J47:J48"/>
    <mergeCell ref="K47:K48"/>
    <mergeCell ref="L47:L48"/>
    <mergeCell ref="A50:L50"/>
    <mergeCell ref="J76:J77"/>
    <mergeCell ref="K76:K77"/>
    <mergeCell ref="L76:L77"/>
    <mergeCell ref="J78:J80"/>
    <mergeCell ref="L78:L80"/>
    <mergeCell ref="C52:C54"/>
    <mergeCell ref="D52:E53"/>
    <mergeCell ref="J43:J44"/>
    <mergeCell ref="K43:K44"/>
    <mergeCell ref="L43:L44"/>
    <mergeCell ref="F43:F45"/>
    <mergeCell ref="G43:G45"/>
    <mergeCell ref="J69:L70"/>
    <mergeCell ref="I75:I77"/>
    <mergeCell ref="I78:I80"/>
    <mergeCell ref="I81:I83"/>
    <mergeCell ref="H72:H74"/>
    <mergeCell ref="H75:H77"/>
    <mergeCell ref="E61:E63"/>
    <mergeCell ref="F61:F63"/>
    <mergeCell ref="G61:G63"/>
    <mergeCell ref="E46:E48"/>
    <mergeCell ref="F46:F48"/>
    <mergeCell ref="H46:H48"/>
    <mergeCell ref="D78:D80"/>
    <mergeCell ref="E78:E80"/>
    <mergeCell ref="F78:F80"/>
    <mergeCell ref="C22:C24"/>
    <mergeCell ref="C20:C21"/>
    <mergeCell ref="I67:L67"/>
    <mergeCell ref="J64:J66"/>
    <mergeCell ref="K64:K66"/>
    <mergeCell ref="L64:L66"/>
    <mergeCell ref="H43:H45"/>
    <mergeCell ref="I43:I45"/>
    <mergeCell ref="A49:XFD49"/>
    <mergeCell ref="H61:H63"/>
    <mergeCell ref="A19:A25"/>
    <mergeCell ref="B20:B21"/>
    <mergeCell ref="B22:B24"/>
    <mergeCell ref="J19:J25"/>
    <mergeCell ref="K19:K25"/>
    <mergeCell ref="F52:G53"/>
    <mergeCell ref="H52:I53"/>
    <mergeCell ref="J52:L53"/>
    <mergeCell ref="J55:J56"/>
    <mergeCell ref="L55:L56"/>
    <mergeCell ref="D46:D48"/>
  </mergeCells>
  <phoneticPr fontId="6" type="noConversion"/>
  <pageMargins left="0.48" right="0.25" top="0.56000000000000005" bottom="0.5" header="0.3" footer="0.3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SX NHÂN SỰ MN, TH, THCS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 Pham Thanh</dc:creator>
  <cp:lastModifiedBy>Linh Nguyễn Thị Mỹ</cp:lastModifiedBy>
  <cp:lastPrinted>2019-10-16T06:43:51Z</cp:lastPrinted>
  <dcterms:created xsi:type="dcterms:W3CDTF">2017-11-24T13:52:22Z</dcterms:created>
  <dcterms:modified xsi:type="dcterms:W3CDTF">2026-07-28T02:52:03Z</dcterms:modified>
</cp:coreProperties>
</file>