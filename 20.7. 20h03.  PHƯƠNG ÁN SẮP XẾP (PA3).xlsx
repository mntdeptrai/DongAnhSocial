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INH VĂN HOÁ\PHÒNG VĂN HÓA XÃ HỘI\NỘI VỤ - VHXH\ĐỀ ÁN SẮP XẾP ĐVSN CÔNG LẬP\PHƯƠNG ÁN SẮP XẾP CSGD 2026\PHƯƠNG ÁN SẮP XẾP T7.2026\PHƯƠNG ÁN SX 3\"/>
    </mc:Choice>
  </mc:AlternateContent>
  <xr:revisionPtr revIDLastSave="0" documentId="13_ncr:1_{F1DFCFBA-EDF2-4212-B1D7-A6F734575AA7}" xr6:coauthVersionLast="47" xr6:coauthVersionMax="47" xr10:uidLastSave="{00000000-0000-0000-0000-000000000000}"/>
  <bookViews>
    <workbookView xWindow="885" yWindow="285" windowWidth="17655" windowHeight="11085" xr2:uid="{00000000-000D-0000-FFFF-FFFF00000000}"/>
  </bookViews>
  <sheets>
    <sheet name="Sắp xếp MN, TH, THC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0" i="4" l="1"/>
  <c r="M110" i="4"/>
  <c r="N106" i="4"/>
  <c r="M106" i="4"/>
  <c r="N97" i="4"/>
  <c r="O97" i="4" s="1"/>
  <c r="M97" i="4"/>
  <c r="N101" i="4"/>
  <c r="O101" i="4" s="1"/>
  <c r="M101" i="4"/>
  <c r="N88" i="4"/>
  <c r="M88" i="4"/>
  <c r="N92" i="4"/>
  <c r="M92" i="4"/>
  <c r="O74" i="4"/>
  <c r="N79" i="4"/>
  <c r="M79" i="4"/>
  <c r="K63" i="4"/>
  <c r="L63" i="4"/>
  <c r="M63" i="4" s="1"/>
  <c r="L62" i="4"/>
  <c r="K62" i="4"/>
  <c r="K60" i="4"/>
  <c r="M60" i="4" s="1"/>
  <c r="L60" i="4"/>
  <c r="L59" i="4"/>
  <c r="L61" i="4" s="1"/>
  <c r="K59" i="4"/>
  <c r="L21" i="4"/>
  <c r="M21" i="4"/>
  <c r="N21" i="4"/>
  <c r="O21" i="4"/>
  <c r="L22" i="4"/>
  <c r="M22" i="4"/>
  <c r="N22" i="4"/>
  <c r="O22" i="4"/>
  <c r="L18" i="4"/>
  <c r="M18" i="4"/>
  <c r="N18" i="4"/>
  <c r="O18" i="4"/>
  <c r="L11" i="4"/>
  <c r="M11" i="4"/>
  <c r="M13" i="4" s="1"/>
  <c r="N11" i="4"/>
  <c r="O11" i="4"/>
  <c r="L12" i="4"/>
  <c r="M12" i="4"/>
  <c r="N12" i="4"/>
  <c r="O12" i="4"/>
  <c r="L15" i="4"/>
  <c r="M15" i="4"/>
  <c r="N15" i="4"/>
  <c r="O15" i="4"/>
  <c r="N83" i="4"/>
  <c r="N74" i="4"/>
  <c r="L54" i="4"/>
  <c r="K29" i="4"/>
  <c r="J29" i="4"/>
  <c r="I29" i="4"/>
  <c r="H29" i="4"/>
  <c r="G29" i="4"/>
  <c r="F29" i="4"/>
  <c r="E29" i="4"/>
  <c r="D29" i="4"/>
  <c r="C29" i="4"/>
  <c r="O28" i="4"/>
  <c r="N28" i="4"/>
  <c r="M28" i="4"/>
  <c r="L28" i="4"/>
  <c r="O27" i="4"/>
  <c r="N27" i="4"/>
  <c r="M27" i="4"/>
  <c r="L27" i="4"/>
  <c r="L29" i="4" s="1"/>
  <c r="C26" i="4"/>
  <c r="O25" i="4"/>
  <c r="N25" i="4"/>
  <c r="M25" i="4"/>
  <c r="L25" i="4"/>
  <c r="O24" i="4"/>
  <c r="N24" i="4"/>
  <c r="M24" i="4"/>
  <c r="M26" i="4" s="1"/>
  <c r="L24" i="4"/>
  <c r="L26" i="4" s="1"/>
  <c r="K23" i="4"/>
  <c r="K26" i="4" s="1"/>
  <c r="J23" i="4"/>
  <c r="J26" i="4" s="1"/>
  <c r="I23" i="4"/>
  <c r="I26" i="4" s="1"/>
  <c r="H23" i="4"/>
  <c r="H26" i="4" s="1"/>
  <c r="G23" i="4"/>
  <c r="F23" i="4"/>
  <c r="F26" i="4" s="1"/>
  <c r="E23" i="4"/>
  <c r="D23" i="4"/>
  <c r="D26" i="4" s="1"/>
  <c r="C23" i="4"/>
  <c r="O20" i="4"/>
  <c r="N20" i="4"/>
  <c r="M20" i="4"/>
  <c r="L20" i="4"/>
  <c r="K19" i="4"/>
  <c r="O19" i="4" s="1"/>
  <c r="J19" i="4"/>
  <c r="I19" i="4"/>
  <c r="H19" i="4"/>
  <c r="G19" i="4"/>
  <c r="F19" i="4"/>
  <c r="E19" i="4"/>
  <c r="D19" i="4"/>
  <c r="C19" i="4"/>
  <c r="O17" i="4"/>
  <c r="N17" i="4"/>
  <c r="M17" i="4"/>
  <c r="M19" i="4" s="1"/>
  <c r="L17" i="4"/>
  <c r="L19" i="4" s="1"/>
  <c r="M16" i="4"/>
  <c r="L16" i="4"/>
  <c r="K16" i="4"/>
  <c r="J16" i="4"/>
  <c r="I16" i="4"/>
  <c r="H16" i="4"/>
  <c r="G16" i="4"/>
  <c r="F16" i="4"/>
  <c r="E16" i="4"/>
  <c r="D16" i="4"/>
  <c r="C16" i="4"/>
  <c r="O14" i="4"/>
  <c r="N14" i="4"/>
  <c r="M14" i="4"/>
  <c r="L14" i="4"/>
  <c r="K13" i="4"/>
  <c r="J13" i="4"/>
  <c r="I13" i="4"/>
  <c r="H13" i="4"/>
  <c r="G13" i="4"/>
  <c r="F13" i="4"/>
  <c r="E13" i="4"/>
  <c r="D13" i="4"/>
  <c r="C13" i="4"/>
  <c r="D111" i="4"/>
  <c r="E111" i="4"/>
  <c r="F111" i="4"/>
  <c r="G111" i="4"/>
  <c r="H111" i="4"/>
  <c r="I111" i="4"/>
  <c r="J111" i="4"/>
  <c r="C111" i="4"/>
  <c r="J102" i="4"/>
  <c r="I102" i="4"/>
  <c r="H102" i="4"/>
  <c r="G102" i="4"/>
  <c r="F102" i="4"/>
  <c r="E102" i="4"/>
  <c r="D102" i="4"/>
  <c r="C102" i="4"/>
  <c r="J93" i="4"/>
  <c r="I93" i="4"/>
  <c r="H93" i="4"/>
  <c r="G93" i="4"/>
  <c r="F93" i="4"/>
  <c r="E93" i="4"/>
  <c r="D93" i="4"/>
  <c r="C93" i="4"/>
  <c r="M83" i="4"/>
  <c r="J84" i="4"/>
  <c r="I84" i="4"/>
  <c r="H84" i="4"/>
  <c r="G84" i="4"/>
  <c r="F84" i="4"/>
  <c r="E84" i="4"/>
  <c r="D84" i="4"/>
  <c r="C84" i="4"/>
  <c r="N70" i="4"/>
  <c r="N75" i="4" s="1"/>
  <c r="M70" i="4"/>
  <c r="M74" i="4"/>
  <c r="J75" i="4"/>
  <c r="I75" i="4"/>
  <c r="H75" i="4"/>
  <c r="G75" i="4"/>
  <c r="F75" i="4"/>
  <c r="E75" i="4"/>
  <c r="D75" i="4"/>
  <c r="C75" i="4"/>
  <c r="N42" i="4"/>
  <c r="M42" i="4"/>
  <c r="N41" i="4"/>
  <c r="M41" i="4"/>
  <c r="L43" i="4"/>
  <c r="K43" i="4"/>
  <c r="J43" i="4"/>
  <c r="I43" i="4"/>
  <c r="H43" i="4"/>
  <c r="G43" i="4"/>
  <c r="F43" i="4"/>
  <c r="E43" i="4"/>
  <c r="D43" i="4"/>
  <c r="C43" i="4"/>
  <c r="N45" i="4"/>
  <c r="M45" i="4"/>
  <c r="N44" i="4"/>
  <c r="M44" i="4"/>
  <c r="O110" i="4" l="1"/>
  <c r="O106" i="4"/>
  <c r="O92" i="4"/>
  <c r="O88" i="4"/>
  <c r="M62" i="4"/>
  <c r="L23" i="4"/>
  <c r="M23" i="4"/>
  <c r="O13" i="4"/>
  <c r="M75" i="4"/>
  <c r="O75" i="4" s="1"/>
  <c r="N29" i="4"/>
  <c r="O29" i="4"/>
  <c r="N19" i="4"/>
  <c r="N93" i="4"/>
  <c r="N16" i="4"/>
  <c r="M29" i="4"/>
  <c r="O16" i="4"/>
  <c r="L13" i="4"/>
  <c r="N13" i="4"/>
  <c r="N111" i="4"/>
  <c r="O83" i="4"/>
  <c r="O23" i="4"/>
  <c r="G26" i="4"/>
  <c r="O26" i="4" s="1"/>
  <c r="N23" i="4"/>
  <c r="E26" i="4"/>
  <c r="N26" i="4" s="1"/>
  <c r="M111" i="4"/>
  <c r="M93" i="4"/>
  <c r="O79" i="4"/>
  <c r="M102" i="4"/>
  <c r="N102" i="4"/>
  <c r="O102" i="4" s="1"/>
  <c r="M84" i="4"/>
  <c r="N84" i="4"/>
  <c r="O70" i="4"/>
  <c r="O41" i="4"/>
  <c r="M43" i="4"/>
  <c r="O42" i="4"/>
  <c r="O44" i="4"/>
  <c r="N43" i="4"/>
  <c r="O45" i="4"/>
  <c r="L64" i="4"/>
  <c r="K64" i="4"/>
  <c r="J64" i="4"/>
  <c r="I64" i="4"/>
  <c r="H64" i="4"/>
  <c r="G64" i="4"/>
  <c r="F64" i="4"/>
  <c r="E64" i="4"/>
  <c r="D64" i="4"/>
  <c r="C64" i="4"/>
  <c r="K61" i="4"/>
  <c r="J61" i="4"/>
  <c r="I61" i="4"/>
  <c r="H61" i="4"/>
  <c r="G61" i="4"/>
  <c r="F61" i="4"/>
  <c r="E61" i="4"/>
  <c r="D61" i="4"/>
  <c r="C61" i="4"/>
  <c r="M59" i="4"/>
  <c r="M54" i="4"/>
  <c r="M53" i="4"/>
  <c r="O93" i="4" l="1"/>
  <c r="O111" i="4"/>
  <c r="O43" i="4"/>
  <c r="O84" i="4"/>
  <c r="M61" i="4"/>
  <c r="M64" i="4"/>
  <c r="D46" i="4" l="1"/>
  <c r="E46" i="4"/>
  <c r="F46" i="4"/>
  <c r="G46" i="4"/>
  <c r="H46" i="4"/>
  <c r="I46" i="4"/>
  <c r="J46" i="4"/>
  <c r="K46" i="4"/>
  <c r="L46" i="4"/>
  <c r="M46" i="4"/>
  <c r="N36" i="4"/>
  <c r="M36" i="4"/>
  <c r="N46" i="4" l="1"/>
  <c r="C46" i="4"/>
  <c r="O36" i="4"/>
  <c r="O46" i="4" l="1"/>
</calcChain>
</file>

<file path=xl/sharedStrings.xml><?xml version="1.0" encoding="utf-8"?>
<sst xmlns="http://schemas.openxmlformats.org/spreadsheetml/2006/main" count="413" uniqueCount="108">
  <si>
    <t>STT</t>
  </si>
  <si>
    <t>Tổng số</t>
  </si>
  <si>
    <t>Lớp 6</t>
  </si>
  <si>
    <t>Lớp 7</t>
  </si>
  <si>
    <t>Lớp 8</t>
  </si>
  <si>
    <t>Lớp 9</t>
  </si>
  <si>
    <t>Học sinh</t>
  </si>
  <si>
    <t xml:space="preserve"> TỔNG SỐ</t>
  </si>
  <si>
    <t xml:space="preserve"> THCS Đào Duy Tùng</t>
  </si>
  <si>
    <t xml:space="preserve"> THCS An Dương Vương</t>
  </si>
  <si>
    <t xml:space="preserve"> THCS Cổ Loa</t>
  </si>
  <si>
    <t xml:space="preserve"> THCS Đông Hội</t>
  </si>
  <si>
    <t xml:space="preserve"> THCS Ngô Quyền</t>
  </si>
  <si>
    <t>HS/lớp</t>
  </si>
  <si>
    <t>Số lớp</t>
  </si>
  <si>
    <t>Tên trường</t>
  </si>
  <si>
    <t>Ghi chú</t>
  </si>
  <si>
    <t>- Đúng quy mô có tối thiểu 45 lớp.</t>
  </si>
  <si>
    <t xml:space="preserve"> THCS Mai Lâm</t>
  </si>
  <si>
    <t xml:space="preserve"> THCS Việt Hùng</t>
  </si>
  <si>
    <t xml:space="preserve"> THCS Nguyễn Huy Tưởng</t>
  </si>
  <si>
    <t xml:space="preserve"> THCS Dục Tú</t>
  </si>
  <si>
    <t xml:space="preserve"> THCS Uy Nỗ</t>
  </si>
  <si>
    <t xml:space="preserve"> THCS Xuân Canh</t>
  </si>
  <si>
    <t>Đơn vị</t>
  </si>
  <si>
    <t>Lớp 1</t>
  </si>
  <si>
    <t>Lớp 2</t>
  </si>
  <si>
    <t>Lớp 3</t>
  </si>
  <si>
    <t>Lớp 4</t>
  </si>
  <si>
    <t>Lớp 5</t>
  </si>
  <si>
    <t>Tiểu học Dục Tú</t>
  </si>
  <si>
    <t>Tiểu học Ngô Tất Tố</t>
  </si>
  <si>
    <t xml:space="preserve"> Tiểu học Việt Hùng </t>
  </si>
  <si>
    <t xml:space="preserve"> Tiểu học Việt Hùng 2</t>
  </si>
  <si>
    <t xml:space="preserve"> Tiểu học An Dương Vương</t>
  </si>
  <si>
    <t xml:space="preserve"> Tiểu học Đông Hội</t>
  </si>
  <si>
    <t xml:space="preserve"> Tiểu học Đào Duy Tùng</t>
  </si>
  <si>
    <t xml:space="preserve"> Tiểu học Xuân Canh</t>
  </si>
  <si>
    <t xml:space="preserve"> Tiểu học Cổ Loa</t>
  </si>
  <si>
    <t xml:space="preserve"> Tiểu học Uy Nỗ</t>
  </si>
  <si>
    <t>Tổng số Điểm trường</t>
  </si>
  <si>
    <t>24-36 tháng</t>
  </si>
  <si>
    <t>3-4 tuổi</t>
  </si>
  <si>
    <t>4-5 tuổi</t>
  </si>
  <si>
    <t>5-6 tuổi</t>
  </si>
  <si>
    <t>Nhà trẻ
HS/lớp</t>
  </si>
  <si>
    <t>Mẫu giáo
HS/lớp</t>
  </si>
  <si>
    <t xml:space="preserve"> Mầm non Phúc Lộc</t>
  </si>
  <si>
    <t xml:space="preserve"> Mầm non Cổ Loa</t>
  </si>
  <si>
    <t xml:space="preserve"> Mầm non Đông Hội</t>
  </si>
  <si>
    <t xml:space="preserve"> Mầm non Dục Tú</t>
  </si>
  <si>
    <t xml:space="preserve"> Mầm non Thái Bình</t>
  </si>
  <si>
    <t xml:space="preserve"> Mầm non Dục Nội</t>
  </si>
  <si>
    <t xml:space="preserve"> Mầm non Mai Lâm</t>
  </si>
  <si>
    <t xml:space="preserve"> Mầm non Sao Mai</t>
  </si>
  <si>
    <t xml:space="preserve"> Mầm non Thành Loa</t>
  </si>
  <si>
    <t xml:space="preserve"> Mầm non Uy Nỗ A</t>
  </si>
  <si>
    <t xml:space="preserve"> Mầm non Uy Nỗ</t>
  </si>
  <si>
    <t xml:space="preserve"> Mầm non Xuân Canh</t>
  </si>
  <si>
    <t>TỔNG SỐ</t>
  </si>
  <si>
    <t xml:space="preserve"> Mầm non Việt Hùng</t>
  </si>
  <si>
    <t>- Đúng quy mô có tối thiểu 30 lớp.</t>
  </si>
  <si>
    <t>ỦY BAN NHÂN DÂN XÃ ĐÔNG ANH</t>
  </si>
  <si>
    <t>PHÒNG VĂN HÓA - XÃ HỘI</t>
  </si>
  <si>
    <t>PHƯƠNG ÁN SẮP XẾP, TỔ CHỨC LẠI CÁC CƠ SỞ GIÁO DỤC CÔNG LẬP</t>
  </si>
  <si>
    <t>Tên trường Tiểu học</t>
  </si>
  <si>
    <t>Tên trường THCS</t>
  </si>
  <si>
    <t>- Đúng quy mô từ 50 lớp trở lên.</t>
  </si>
  <si>
    <t>Tên trường mới</t>
  </si>
  <si>
    <t>Phân tích số lớp</t>
  </si>
  <si>
    <t>MN Đông Hội</t>
  </si>
  <si>
    <t>MN Phúc Lộc</t>
  </si>
  <si>
    <t>MN Cổ Loa</t>
  </si>
  <si>
    <t>MN Mai Lâm</t>
  </si>
  <si>
    <t>MN Uy Nỗ</t>
  </si>
  <si>
    <t>TH An Dương Vương</t>
  </si>
  <si>
    <t>TH Đông Hội</t>
  </si>
  <si>
    <t>TH Việt Hùng</t>
  </si>
  <si>
    <t>THCS Nguyễn Huy Tưởng</t>
  </si>
  <si>
    <t>THCS Ngô Quyền</t>
  </si>
  <si>
    <t>Trường liên cấp 
Mai Lâm</t>
  </si>
  <si>
    <t>Trường liên cấp 
Cổ Loa</t>
  </si>
  <si>
    <t>Trường liên cấp 
Dục Tú</t>
  </si>
  <si>
    <t>Trường liên cấp 
Đào Duy Tùng</t>
  </si>
  <si>
    <t>Trường liên cấp 
Uy Nỗ</t>
  </si>
  <si>
    <t>THCS An Dương Vương</t>
  </si>
  <si>
    <t>THCS Xuân Canh</t>
  </si>
  <si>
    <t>MN Việt Hùng</t>
  </si>
  <si>
    <t xml:space="preserve">- Đúng quy mô có tối thiểu 30 lớp.
- Bao gồm Trường Mầm non Cầu Cả đang thực hiện xây dựng với quy mô dự kiến 9 nhóm lớp, 270 học sinh
- Điểm trường này thay thế điểm trường Mạch Tràng đã xuống cấp và hoàn trả vị trí cho thôn Mạch Tràng, Cầu Cả
</t>
  </si>
  <si>
    <t>- Đúng quy mô có tối thiểu 40 lớp.
- Bao gồm Trường Tiểu học Lại Đà, đang chuẩn bị khởi công, với quy mô dự kiến 25 lớp học, 875 học sinh</t>
  </si>
  <si>
    <r>
      <t>NĂM HỌC 2026-2027</t>
    </r>
    <r>
      <rPr>
        <b/>
        <sz val="12"/>
        <rFont val="Times New Roman"/>
        <family val="1"/>
      </rPr>
      <t xml:space="preserve"> (Thực hiện theo Kế hoạch 272-TTr/ĐU ngày 10/7/2026 của UBND Thành phố Hà Nội)</t>
    </r>
  </si>
  <si>
    <t>A. SẮP XẾP CÁC TRƯỜNG MẦM NON (Số trường sau sắp xếp: 06)</t>
  </si>
  <si>
    <t>2. Trường Mầm non sắp xếp một cấp học đa cơ sở (6 trường)</t>
  </si>
  <si>
    <t>B. SẮP XẾP CÁC TRƯỜNG TIỂU HỌC (Số trường sau sắp xếp: 03)</t>
  </si>
  <si>
    <t>1. Trường Tiểu học giữ nguyên quy mô không sắp xếp (01 trường)</t>
  </si>
  <si>
    <t>2. Các trường Tiểu học sắp xếp một cấp học đa cơ sở (2 trường)</t>
  </si>
  <si>
    <t>C. SẮP XẾP CÁC TRƯỜNG TRUNG HỌC CƠ SỞ (Số trường sau sắp xếp: 04)</t>
  </si>
  <si>
    <t>1. Các trường THCS giữ nguyên quy mô không sắp xếp (02 trường)</t>
  </si>
  <si>
    <t>2. Các trường THCS sắp xếp một cấp học đa cơ sở (02 trường)</t>
  </si>
  <si>
    <t>D. SẮP XẾP CÁC TRƯỜNG NHIỀU CẤP HỌC (Số trường sau sắp xếp: 05)</t>
  </si>
  <si>
    <t>TỔNG SỐ TRƯỜNG SAU SẮP XẾP: 18 TRƯỜNG</t>
  </si>
  <si>
    <t>- Đã có QĐ công nhận là trường CLC.</t>
  </si>
  <si>
    <t>- Đúng quy mô có tối thiểu 40 lớp.</t>
  </si>
  <si>
    <t>- Đúng quy mô có tối thiểu 45 lớp.
- Bao gồm Trường THCS Lại Đà, đang trong quá trình hoàn thiện công trình, với quy mô dự kiến 20 lớp học, 800 học sinh.</t>
  </si>
  <si>
    <t>- Đúng quy mô có tối thiểu 50 lớp.</t>
  </si>
  <si>
    <t xml:space="preserve">
- Sau khi sắp xếp sẽ thực hiện giảm số học sinh/lớp xuống còn 25,3 học sinh/lớp, để đảm bảo có đủ 30 lớp theo đúng quy mô tối thiểu</t>
  </si>
  <si>
    <t xml:space="preserve">- Đúng quy mô có tối thiểu 30 lớp.
- Trong thời gian tới, sẽ bao gồm Trường Mầm non Đông Hội (điểm Lại Đà). Đang trong quá trình hoàn thiện với quy mô dự kiến 14 nhóm lớp
- Bao gồm Trường Mầm non Đông Trù với quy mô dự kiến 12 nhóm lớp. Đang chuẩn bị khởi công
</t>
  </si>
  <si>
    <t xml:space="preserve">- Đã có QĐ công nhận là trường CLC.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</si>
</sst>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#,##0.0_);\(#,##0.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b/>
      <sz val="1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rgb="FFD6E3B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1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left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1" fontId="2" fillId="4" borderId="9" xfId="0" applyNumberFormat="1" applyFont="1" applyFill="1" applyBorder="1" applyAlignment="1">
      <alignment horizontal="center" vertical="center" wrapText="1"/>
    </xf>
    <xf numFmtId="166" fontId="2" fillId="4" borderId="9" xfId="0" applyNumberFormat="1" applyFont="1" applyFill="1" applyBorder="1" applyAlignment="1">
      <alignment horizontal="center" vertical="center" wrapText="1"/>
    </xf>
    <xf numFmtId="166" fontId="2" fillId="4" borderId="9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0" fontId="7" fillId="7" borderId="0" xfId="0" applyFont="1" applyFill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1" applyNumberFormat="1" applyFont="1" applyFill="1" applyBorder="1" applyAlignment="1" applyProtection="1">
      <alignment horizontal="center" vertical="center" wrapText="1"/>
    </xf>
    <xf numFmtId="164" fontId="2" fillId="0" borderId="1" xfId="1" applyFont="1" applyFill="1" applyBorder="1" applyAlignment="1" applyProtection="1">
      <alignment horizontal="center" vertical="center" wrapText="1"/>
    </xf>
    <xf numFmtId="164" fontId="3" fillId="3" borderId="1" xfId="1" applyFont="1" applyFill="1" applyBorder="1" applyAlignment="1" applyProtection="1">
      <alignment horizontal="center" vertical="center" wrapText="1"/>
    </xf>
    <xf numFmtId="165" fontId="2" fillId="0" borderId="5" xfId="1" applyNumberFormat="1" applyFont="1" applyFill="1" applyBorder="1" applyAlignment="1" applyProtection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3" fillId="2" borderId="1" xfId="1" applyFont="1" applyFill="1" applyBorder="1" applyAlignment="1" applyProtection="1">
      <alignment horizontal="center" vertical="center" wrapText="1"/>
    </xf>
    <xf numFmtId="167" fontId="2" fillId="0" borderId="1" xfId="1" applyNumberFormat="1" applyFont="1" applyFill="1" applyBorder="1" applyAlignment="1" applyProtection="1">
      <alignment horizontal="center" vertical="center" wrapText="1"/>
    </xf>
    <xf numFmtId="165" fontId="2" fillId="0" borderId="1" xfId="1" applyNumberFormat="1" applyFont="1" applyFill="1" applyBorder="1" applyAlignment="1" applyProtection="1">
      <alignment vertical="center" wrapText="1"/>
    </xf>
    <xf numFmtId="164" fontId="2" fillId="0" borderId="1" xfId="1" applyFont="1" applyFill="1" applyBorder="1" applyAlignment="1" applyProtection="1">
      <alignment vertical="center" wrapText="1"/>
    </xf>
    <xf numFmtId="164" fontId="2" fillId="0" borderId="0" xfId="0" applyNumberFormat="1" applyFont="1"/>
    <xf numFmtId="165" fontId="3" fillId="0" borderId="1" xfId="1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vertical="center" wrapText="1"/>
    </xf>
    <xf numFmtId="165" fontId="3" fillId="10" borderId="1" xfId="1" applyNumberFormat="1" applyFont="1" applyFill="1" applyBorder="1" applyAlignment="1" applyProtection="1">
      <alignment vertical="center" wrapText="1"/>
    </xf>
    <xf numFmtId="0" fontId="2" fillId="2" borderId="1" xfId="0" quotePrefix="1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168" fontId="3" fillId="0" borderId="1" xfId="1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3" fillId="3" borderId="5" xfId="1" applyFont="1" applyFill="1" applyBorder="1" applyAlignment="1" applyProtection="1">
      <alignment horizontal="center" vertical="center" wrapText="1"/>
    </xf>
    <xf numFmtId="164" fontId="3" fillId="3" borderId="6" xfId="1" applyFont="1" applyFill="1" applyBorder="1" applyAlignment="1" applyProtection="1">
      <alignment horizontal="center" vertical="center" wrapText="1"/>
    </xf>
    <xf numFmtId="167" fontId="3" fillId="3" borderId="5" xfId="1" applyNumberFormat="1" applyFont="1" applyFill="1" applyBorder="1" applyAlignment="1" applyProtection="1">
      <alignment horizontal="center" vertical="center" wrapText="1"/>
    </xf>
    <xf numFmtId="167" fontId="3" fillId="3" borderId="6" xfId="1" applyNumberFormat="1" applyFont="1" applyFill="1" applyBorder="1" applyAlignment="1" applyProtection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166" fontId="3" fillId="6" borderId="5" xfId="0" applyNumberFormat="1" applyFont="1" applyFill="1" applyBorder="1" applyAlignment="1">
      <alignment horizontal="center" vertical="center" wrapText="1"/>
    </xf>
    <xf numFmtId="166" fontId="3" fillId="6" borderId="7" xfId="0" applyNumberFormat="1" applyFont="1" applyFill="1" applyBorder="1" applyAlignment="1">
      <alignment horizontal="center" vertical="center" wrapText="1"/>
    </xf>
    <xf numFmtId="166" fontId="3" fillId="6" borderId="6" xfId="0" applyNumberFormat="1" applyFont="1" applyFill="1" applyBorder="1" applyAlignment="1">
      <alignment horizontal="center" vertical="center" wrapText="1"/>
    </xf>
    <xf numFmtId="166" fontId="3" fillId="6" borderId="14" xfId="0" applyNumberFormat="1" applyFont="1" applyFill="1" applyBorder="1" applyAlignment="1">
      <alignment horizontal="center" vertical="center" wrapText="1"/>
    </xf>
    <xf numFmtId="166" fontId="3" fillId="6" borderId="16" xfId="0" applyNumberFormat="1" applyFont="1" applyFill="1" applyBorder="1" applyAlignment="1">
      <alignment horizontal="center" vertical="center" wrapText="1"/>
    </xf>
    <xf numFmtId="166" fontId="3" fillId="6" borderId="15" xfId="0" applyNumberFormat="1" applyFont="1" applyFill="1" applyBorder="1" applyAlignment="1">
      <alignment horizontal="center" vertical="center" wrapText="1"/>
    </xf>
    <xf numFmtId="166" fontId="3" fillId="6" borderId="14" xfId="0" applyNumberFormat="1" applyFont="1" applyFill="1" applyBorder="1" applyAlignment="1">
      <alignment horizontal="center" vertical="center"/>
    </xf>
    <xf numFmtId="166" fontId="3" fillId="6" borderId="16" xfId="0" applyNumberFormat="1" applyFont="1" applyFill="1" applyBorder="1" applyAlignment="1">
      <alignment horizontal="center" vertical="center"/>
    </xf>
    <xf numFmtId="166" fontId="3" fillId="6" borderId="15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2" borderId="12" xfId="0" quotePrefix="1" applyFont="1" applyFill="1" applyBorder="1" applyAlignment="1">
      <alignment horizontal="left" vertical="center" wrapText="1"/>
    </xf>
    <xf numFmtId="0" fontId="2" fillId="2" borderId="14" xfId="0" quotePrefix="1" applyFont="1" applyFill="1" applyBorder="1" applyAlignment="1">
      <alignment horizontal="left" vertical="center" wrapText="1"/>
    </xf>
    <xf numFmtId="0" fontId="2" fillId="2" borderId="17" xfId="0" quotePrefix="1" applyFont="1" applyFill="1" applyBorder="1" applyAlignment="1">
      <alignment horizontal="left" vertical="center" wrapText="1"/>
    </xf>
    <xf numFmtId="0" fontId="2" fillId="2" borderId="16" xfId="0" quotePrefix="1" applyFont="1" applyFill="1" applyBorder="1" applyAlignment="1">
      <alignment horizontal="left" vertical="center" wrapText="1"/>
    </xf>
    <xf numFmtId="0" fontId="2" fillId="2" borderId="3" xfId="0" quotePrefix="1" applyFont="1" applyFill="1" applyBorder="1" applyAlignment="1">
      <alignment horizontal="left" vertical="center" wrapText="1"/>
    </xf>
    <xf numFmtId="0" fontId="2" fillId="2" borderId="15" xfId="0" quotePrefix="1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66" fontId="3" fillId="6" borderId="5" xfId="0" applyNumberFormat="1" applyFont="1" applyFill="1" applyBorder="1" applyAlignment="1">
      <alignment horizontal="center" vertical="center"/>
    </xf>
    <xf numFmtId="166" fontId="3" fillId="6" borderId="7" xfId="0" applyNumberFormat="1" applyFont="1" applyFill="1" applyBorder="1" applyAlignment="1">
      <alignment horizontal="center" vertical="center"/>
    </xf>
    <xf numFmtId="166" fontId="3" fillId="6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5" fontId="3" fillId="3" borderId="5" xfId="1" applyNumberFormat="1" applyFont="1" applyFill="1" applyBorder="1" applyAlignment="1" applyProtection="1">
      <alignment horizontal="center" vertical="center" wrapText="1"/>
    </xf>
    <xf numFmtId="165" fontId="3" fillId="3" borderId="7" xfId="1" applyNumberFormat="1" applyFont="1" applyFill="1" applyBorder="1" applyAlignment="1" applyProtection="1">
      <alignment horizontal="center" vertical="center" wrapText="1"/>
    </xf>
    <xf numFmtId="165" fontId="3" fillId="3" borderId="6" xfId="1" applyNumberFormat="1" applyFont="1" applyFill="1" applyBorder="1" applyAlignment="1" applyProtection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1" fillId="2" borderId="5" xfId="0" quotePrefix="1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4" fontId="3" fillId="10" borderId="1" xfId="1" applyFont="1" applyFill="1" applyBorder="1" applyAlignment="1" applyProtection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4" fontId="3" fillId="10" borderId="1" xfId="1" applyFont="1" applyFill="1" applyBorder="1" applyAlignment="1" applyProtection="1">
      <alignment vertical="center" wrapText="1"/>
    </xf>
    <xf numFmtId="165" fontId="3" fillId="10" borderId="1" xfId="1" applyNumberFormat="1" applyFont="1" applyFill="1" applyBorder="1" applyAlignment="1" applyProtection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166" fontId="3" fillId="10" borderId="1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 wrapText="1"/>
    </xf>
    <xf numFmtId="0" fontId="2" fillId="2" borderId="5" xfId="0" quotePrefix="1" applyFont="1" applyFill="1" applyBorder="1" applyAlignment="1">
      <alignment horizontal="left" vertical="center" wrapText="1"/>
    </xf>
    <xf numFmtId="0" fontId="2" fillId="2" borderId="7" xfId="0" quotePrefix="1" applyFont="1" applyFill="1" applyBorder="1" applyAlignment="1">
      <alignment horizontal="left" vertical="center" wrapText="1"/>
    </xf>
    <xf numFmtId="0" fontId="2" fillId="2" borderId="6" xfId="0" quotePrefix="1" applyFont="1" applyFill="1" applyBorder="1" applyAlignment="1">
      <alignment horizontal="left" vertical="center" wrapText="1"/>
    </xf>
    <xf numFmtId="0" fontId="2" fillId="2" borderId="5" xfId="0" quotePrefix="1" applyFont="1" applyFill="1" applyBorder="1" applyAlignment="1">
      <alignment horizontal="center" vertical="center" wrapText="1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T112"/>
  <sheetViews>
    <sheetView tabSelected="1" topLeftCell="A95" zoomScale="60" zoomScaleNormal="60" workbookViewId="0">
      <selection activeCell="T26" sqref="T26"/>
    </sheetView>
  </sheetViews>
  <sheetFormatPr defaultColWidth="9.1328125" defaultRowHeight="15.4" x14ac:dyDescent="0.45"/>
  <cols>
    <col min="1" max="1" width="5.59765625" style="17" customWidth="1"/>
    <col min="2" max="2" width="33.265625" style="17" customWidth="1"/>
    <col min="3" max="3" width="8" style="17" customWidth="1"/>
    <col min="4" max="11" width="7" style="17" customWidth="1"/>
    <col min="12" max="12" width="7.59765625" style="17" customWidth="1"/>
    <col min="13" max="14" width="8.86328125" style="17" customWidth="1"/>
    <col min="15" max="15" width="18.1328125" style="126" customWidth="1"/>
    <col min="16" max="16" width="18" style="17" customWidth="1"/>
    <col min="17" max="17" width="36" style="17" customWidth="1"/>
    <col min="18" max="16384" width="9.1328125" style="17"/>
  </cols>
  <sheetData>
    <row r="1" spans="1:17" ht="18.75" customHeight="1" x14ac:dyDescent="0.45">
      <c r="A1" s="95" t="s">
        <v>62</v>
      </c>
      <c r="B1" s="95"/>
      <c r="C1" s="95"/>
    </row>
    <row r="2" spans="1:17" ht="18.75" customHeight="1" x14ac:dyDescent="0.45">
      <c r="A2" s="96" t="s">
        <v>63</v>
      </c>
      <c r="B2" s="96"/>
      <c r="C2" s="96"/>
    </row>
    <row r="3" spans="1:17" ht="19.5" customHeight="1" x14ac:dyDescent="0.45">
      <c r="A3" s="97" t="s">
        <v>64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</row>
    <row r="4" spans="1:17" ht="26.25" customHeight="1" x14ac:dyDescent="0.45">
      <c r="A4" s="97" t="s">
        <v>90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</row>
    <row r="5" spans="1:17" ht="9" customHeight="1" x14ac:dyDescent="0.45">
      <c r="A5" s="18"/>
      <c r="B5" s="2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20"/>
    </row>
    <row r="6" spans="1:17" ht="24.95" customHeight="1" x14ac:dyDescent="0.45">
      <c r="A6" s="132" t="s">
        <v>91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7" ht="24.95" customHeight="1" x14ac:dyDescent="0.45">
      <c r="A7" s="57" t="s">
        <v>92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</row>
    <row r="8" spans="1:17" ht="24.95" customHeight="1" x14ac:dyDescent="0.45">
      <c r="A8" s="87" t="s">
        <v>0</v>
      </c>
      <c r="B8" s="87" t="s">
        <v>24</v>
      </c>
      <c r="C8" s="87" t="s">
        <v>40</v>
      </c>
      <c r="D8" s="44" t="s">
        <v>69</v>
      </c>
      <c r="E8" s="44"/>
      <c r="F8" s="44"/>
      <c r="G8" s="44"/>
      <c r="H8" s="44"/>
      <c r="I8" s="44"/>
      <c r="J8" s="44"/>
      <c r="K8" s="44"/>
      <c r="L8" s="87" t="s">
        <v>1</v>
      </c>
      <c r="M8" s="88"/>
      <c r="N8" s="88"/>
      <c r="O8" s="88"/>
      <c r="P8" s="89" t="s">
        <v>68</v>
      </c>
      <c r="Q8" s="44" t="s">
        <v>16</v>
      </c>
    </row>
    <row r="9" spans="1:17" ht="24.95" customHeight="1" x14ac:dyDescent="0.45">
      <c r="A9" s="88"/>
      <c r="B9" s="88"/>
      <c r="C9" s="88"/>
      <c r="D9" s="87" t="s">
        <v>41</v>
      </c>
      <c r="E9" s="88"/>
      <c r="F9" s="87" t="s">
        <v>42</v>
      </c>
      <c r="G9" s="88"/>
      <c r="H9" s="87" t="s">
        <v>43</v>
      </c>
      <c r="I9" s="88"/>
      <c r="J9" s="87" t="s">
        <v>44</v>
      </c>
      <c r="K9" s="88"/>
      <c r="L9" s="88"/>
      <c r="M9" s="88"/>
      <c r="N9" s="88"/>
      <c r="O9" s="88"/>
      <c r="P9" s="90"/>
      <c r="Q9" s="44"/>
    </row>
    <row r="10" spans="1:17" ht="31.5" customHeight="1" x14ac:dyDescent="0.45">
      <c r="A10" s="88"/>
      <c r="B10" s="88"/>
      <c r="C10" s="88"/>
      <c r="D10" s="42" t="s">
        <v>14</v>
      </c>
      <c r="E10" s="42" t="s">
        <v>6</v>
      </c>
      <c r="F10" s="42" t="s">
        <v>14</v>
      </c>
      <c r="G10" s="42" t="s">
        <v>6</v>
      </c>
      <c r="H10" s="42" t="s">
        <v>14</v>
      </c>
      <c r="I10" s="42" t="s">
        <v>6</v>
      </c>
      <c r="J10" s="42" t="s">
        <v>14</v>
      </c>
      <c r="K10" s="42" t="s">
        <v>6</v>
      </c>
      <c r="L10" s="42" t="s">
        <v>14</v>
      </c>
      <c r="M10" s="42" t="s">
        <v>6</v>
      </c>
      <c r="N10" s="42" t="s">
        <v>45</v>
      </c>
      <c r="O10" s="42" t="s">
        <v>46</v>
      </c>
      <c r="P10" s="91"/>
      <c r="Q10" s="44"/>
    </row>
    <row r="11" spans="1:17" ht="30" customHeight="1" x14ac:dyDescent="0.45">
      <c r="A11" s="143">
        <v>1</v>
      </c>
      <c r="B11" s="3" t="s">
        <v>47</v>
      </c>
      <c r="C11" s="4">
        <v>1</v>
      </c>
      <c r="D11" s="4">
        <v>4</v>
      </c>
      <c r="E11" s="4">
        <v>75</v>
      </c>
      <c r="F11" s="4">
        <v>4</v>
      </c>
      <c r="G11" s="4">
        <v>102</v>
      </c>
      <c r="H11" s="4">
        <v>4</v>
      </c>
      <c r="I11" s="4">
        <v>118</v>
      </c>
      <c r="J11" s="4">
        <v>4</v>
      </c>
      <c r="K11" s="4">
        <v>110</v>
      </c>
      <c r="L11" s="5">
        <f t="shared" ref="L11:M11" si="0">D11+F11+H11+J11</f>
        <v>16</v>
      </c>
      <c r="M11" s="5">
        <f t="shared" si="0"/>
        <v>405</v>
      </c>
      <c r="N11" s="6">
        <f t="shared" ref="N11:N19" si="1">E11/D11</f>
        <v>18.75</v>
      </c>
      <c r="O11" s="6">
        <f t="shared" ref="O11:O19" si="2">(G11+I11+K11)/(F11+H11+J11)</f>
        <v>27.5</v>
      </c>
      <c r="P11" s="92" t="s">
        <v>71</v>
      </c>
      <c r="Q11" s="150" t="s">
        <v>105</v>
      </c>
    </row>
    <row r="12" spans="1:17" ht="30" customHeight="1" x14ac:dyDescent="0.45">
      <c r="A12" s="148"/>
      <c r="B12" s="3" t="s">
        <v>54</v>
      </c>
      <c r="C12" s="4">
        <v>1</v>
      </c>
      <c r="D12" s="4">
        <v>4</v>
      </c>
      <c r="E12" s="4">
        <v>85</v>
      </c>
      <c r="F12" s="4">
        <v>3</v>
      </c>
      <c r="G12" s="4">
        <v>95</v>
      </c>
      <c r="H12" s="4">
        <v>3</v>
      </c>
      <c r="I12" s="4">
        <v>76</v>
      </c>
      <c r="J12" s="4">
        <v>4</v>
      </c>
      <c r="K12" s="4">
        <v>98</v>
      </c>
      <c r="L12" s="5">
        <f t="shared" ref="L12" si="3">D12+F12+H12+J12</f>
        <v>14</v>
      </c>
      <c r="M12" s="5">
        <f t="shared" ref="M12" si="4">E12+G12+I12+K12</f>
        <v>354</v>
      </c>
      <c r="N12" s="6">
        <f t="shared" ref="N12" si="5">E12/D12</f>
        <v>21.25</v>
      </c>
      <c r="O12" s="6">
        <f t="shared" ref="O12" si="6">(G12+I12+K12)/(F12+H12+J12)</f>
        <v>26.9</v>
      </c>
      <c r="P12" s="93"/>
      <c r="Q12" s="151"/>
    </row>
    <row r="13" spans="1:17" ht="39.75" customHeight="1" x14ac:dyDescent="0.45">
      <c r="A13" s="149"/>
      <c r="B13" s="130" t="s">
        <v>59</v>
      </c>
      <c r="C13" s="141">
        <f t="shared" ref="C13:M13" si="7">SUM(C11:C12)</f>
        <v>2</v>
      </c>
      <c r="D13" s="141">
        <f t="shared" si="7"/>
        <v>8</v>
      </c>
      <c r="E13" s="141">
        <f t="shared" si="7"/>
        <v>160</v>
      </c>
      <c r="F13" s="141">
        <f t="shared" si="7"/>
        <v>7</v>
      </c>
      <c r="G13" s="141">
        <f t="shared" si="7"/>
        <v>197</v>
      </c>
      <c r="H13" s="141">
        <f t="shared" si="7"/>
        <v>7</v>
      </c>
      <c r="I13" s="141">
        <f t="shared" si="7"/>
        <v>194</v>
      </c>
      <c r="J13" s="141">
        <f t="shared" si="7"/>
        <v>8</v>
      </c>
      <c r="K13" s="141">
        <f t="shared" si="7"/>
        <v>208</v>
      </c>
      <c r="L13" s="141">
        <f t="shared" si="7"/>
        <v>30</v>
      </c>
      <c r="M13" s="141">
        <f t="shared" si="7"/>
        <v>759</v>
      </c>
      <c r="N13" s="142">
        <f t="shared" si="1"/>
        <v>20</v>
      </c>
      <c r="O13" s="142">
        <f t="shared" si="2"/>
        <v>27.227272727272727</v>
      </c>
      <c r="P13" s="94"/>
      <c r="Q13" s="152"/>
    </row>
    <row r="14" spans="1:17" ht="27.95" customHeight="1" x14ac:dyDescent="0.45">
      <c r="A14" s="143">
        <v>2</v>
      </c>
      <c r="B14" s="3" t="s">
        <v>48</v>
      </c>
      <c r="C14" s="4">
        <v>1</v>
      </c>
      <c r="D14" s="4">
        <v>5</v>
      </c>
      <c r="E14" s="4">
        <v>130</v>
      </c>
      <c r="F14" s="4">
        <v>5</v>
      </c>
      <c r="G14" s="4">
        <v>157</v>
      </c>
      <c r="H14" s="4">
        <v>3</v>
      </c>
      <c r="I14" s="4">
        <v>109</v>
      </c>
      <c r="J14" s="4">
        <v>5</v>
      </c>
      <c r="K14" s="4">
        <v>168</v>
      </c>
      <c r="L14" s="5">
        <f t="shared" ref="L14:M14" si="8">D14+F14+H14+J14</f>
        <v>18</v>
      </c>
      <c r="M14" s="5">
        <f t="shared" si="8"/>
        <v>564</v>
      </c>
      <c r="N14" s="6">
        <f t="shared" si="1"/>
        <v>26</v>
      </c>
      <c r="O14" s="6">
        <f t="shared" si="2"/>
        <v>33.384615384615387</v>
      </c>
      <c r="P14" s="92" t="s">
        <v>72</v>
      </c>
      <c r="Q14" s="48" t="s">
        <v>88</v>
      </c>
    </row>
    <row r="15" spans="1:17" ht="27.95" customHeight="1" x14ac:dyDescent="0.45">
      <c r="A15" s="144"/>
      <c r="B15" s="3" t="s">
        <v>55</v>
      </c>
      <c r="C15" s="4">
        <v>3</v>
      </c>
      <c r="D15" s="4">
        <v>4</v>
      </c>
      <c r="E15" s="4">
        <v>81</v>
      </c>
      <c r="F15" s="4">
        <v>5</v>
      </c>
      <c r="G15" s="4">
        <v>105</v>
      </c>
      <c r="H15" s="4">
        <v>4</v>
      </c>
      <c r="I15" s="4">
        <v>88</v>
      </c>
      <c r="J15" s="4">
        <v>5</v>
      </c>
      <c r="K15" s="4">
        <v>109</v>
      </c>
      <c r="L15" s="5">
        <f t="shared" ref="L15" si="9">D15+F15+H15+J15</f>
        <v>18</v>
      </c>
      <c r="M15" s="5">
        <f t="shared" ref="M15" si="10">E15+G15+I15+K15</f>
        <v>383</v>
      </c>
      <c r="N15" s="6">
        <f t="shared" ref="N15" si="11">E15/D15</f>
        <v>20.25</v>
      </c>
      <c r="O15" s="6">
        <f t="shared" ref="O15" si="12">(G15+I15+K15)/(F15+H15+J15)</f>
        <v>21.571428571428573</v>
      </c>
      <c r="P15" s="93"/>
      <c r="Q15" s="49"/>
    </row>
    <row r="16" spans="1:17" ht="80.25" customHeight="1" x14ac:dyDescent="0.45">
      <c r="A16" s="145"/>
      <c r="B16" s="130" t="s">
        <v>59</v>
      </c>
      <c r="C16" s="141">
        <f>SUM(C14:C15)</f>
        <v>4</v>
      </c>
      <c r="D16" s="141">
        <f t="shared" ref="D16:M16" si="13">SUM(D14:D15)</f>
        <v>9</v>
      </c>
      <c r="E16" s="141">
        <f t="shared" si="13"/>
        <v>211</v>
      </c>
      <c r="F16" s="141">
        <f t="shared" si="13"/>
        <v>10</v>
      </c>
      <c r="G16" s="141">
        <f t="shared" si="13"/>
        <v>262</v>
      </c>
      <c r="H16" s="141">
        <f t="shared" si="13"/>
        <v>7</v>
      </c>
      <c r="I16" s="141">
        <f t="shared" si="13"/>
        <v>197</v>
      </c>
      <c r="J16" s="141">
        <f t="shared" si="13"/>
        <v>10</v>
      </c>
      <c r="K16" s="141">
        <f t="shared" si="13"/>
        <v>277</v>
      </c>
      <c r="L16" s="141">
        <f t="shared" si="13"/>
        <v>36</v>
      </c>
      <c r="M16" s="141">
        <f t="shared" si="13"/>
        <v>947</v>
      </c>
      <c r="N16" s="142">
        <f t="shared" si="1"/>
        <v>23.444444444444443</v>
      </c>
      <c r="O16" s="142">
        <f t="shared" si="2"/>
        <v>27.25925925925926</v>
      </c>
      <c r="P16" s="94"/>
      <c r="Q16" s="49"/>
    </row>
    <row r="17" spans="1:17" ht="27.95" customHeight="1" x14ac:dyDescent="0.45">
      <c r="A17" s="143">
        <v>3</v>
      </c>
      <c r="B17" s="7" t="s">
        <v>51</v>
      </c>
      <c r="C17" s="8">
        <v>2</v>
      </c>
      <c r="D17" s="8">
        <v>5</v>
      </c>
      <c r="E17" s="8">
        <v>113</v>
      </c>
      <c r="F17" s="8">
        <v>5</v>
      </c>
      <c r="G17" s="8">
        <v>134</v>
      </c>
      <c r="H17" s="8">
        <v>4</v>
      </c>
      <c r="I17" s="8">
        <v>132</v>
      </c>
      <c r="J17" s="8">
        <v>4</v>
      </c>
      <c r="K17" s="8">
        <v>142</v>
      </c>
      <c r="L17" s="5">
        <f t="shared" ref="L17:M17" si="14">D17+F17+H17+J17</f>
        <v>18</v>
      </c>
      <c r="M17" s="5">
        <f t="shared" si="14"/>
        <v>521</v>
      </c>
      <c r="N17" s="9">
        <f t="shared" si="1"/>
        <v>22.6</v>
      </c>
      <c r="O17" s="9">
        <f t="shared" si="2"/>
        <v>31.384615384615383</v>
      </c>
      <c r="P17" s="61" t="s">
        <v>73</v>
      </c>
      <c r="Q17" s="48" t="s">
        <v>61</v>
      </c>
    </row>
    <row r="18" spans="1:17" ht="27.95" customHeight="1" x14ac:dyDescent="0.45">
      <c r="A18" s="144"/>
      <c r="B18" s="7" t="s">
        <v>53</v>
      </c>
      <c r="C18" s="8">
        <v>1</v>
      </c>
      <c r="D18" s="8">
        <v>4</v>
      </c>
      <c r="E18" s="8">
        <v>85</v>
      </c>
      <c r="F18" s="8">
        <v>3</v>
      </c>
      <c r="G18" s="8">
        <v>75</v>
      </c>
      <c r="H18" s="8">
        <v>3</v>
      </c>
      <c r="I18" s="8">
        <v>80</v>
      </c>
      <c r="J18" s="8">
        <v>4</v>
      </c>
      <c r="K18" s="8">
        <v>105</v>
      </c>
      <c r="L18" s="5">
        <f t="shared" ref="L18" si="15">D18+F18+H18+J18</f>
        <v>14</v>
      </c>
      <c r="M18" s="5">
        <f t="shared" ref="M18" si="16">E18+G18+I18+K18</f>
        <v>345</v>
      </c>
      <c r="N18" s="9">
        <f t="shared" ref="N18" si="17">E18/D18</f>
        <v>21.25</v>
      </c>
      <c r="O18" s="9">
        <f t="shared" ref="O18" si="18">(G18+I18+K18)/(F18+H18+J18)</f>
        <v>26</v>
      </c>
      <c r="P18" s="62"/>
      <c r="Q18" s="49"/>
    </row>
    <row r="19" spans="1:17" ht="27.95" customHeight="1" x14ac:dyDescent="0.45">
      <c r="A19" s="145"/>
      <c r="B19" s="130" t="s">
        <v>59</v>
      </c>
      <c r="C19" s="141">
        <f>SUM(C17:C18)</f>
        <v>3</v>
      </c>
      <c r="D19" s="141">
        <f t="shared" ref="D19:M19" si="19">SUM(D17:D18)</f>
        <v>9</v>
      </c>
      <c r="E19" s="141">
        <f t="shared" si="19"/>
        <v>198</v>
      </c>
      <c r="F19" s="141">
        <f t="shared" si="19"/>
        <v>8</v>
      </c>
      <c r="G19" s="141">
        <f t="shared" si="19"/>
        <v>209</v>
      </c>
      <c r="H19" s="141">
        <f t="shared" si="19"/>
        <v>7</v>
      </c>
      <c r="I19" s="141">
        <f t="shared" si="19"/>
        <v>212</v>
      </c>
      <c r="J19" s="141">
        <f t="shared" si="19"/>
        <v>8</v>
      </c>
      <c r="K19" s="141">
        <f t="shared" si="19"/>
        <v>247</v>
      </c>
      <c r="L19" s="141">
        <f t="shared" si="19"/>
        <v>32</v>
      </c>
      <c r="M19" s="141">
        <f t="shared" si="19"/>
        <v>866</v>
      </c>
      <c r="N19" s="142">
        <f t="shared" si="1"/>
        <v>22</v>
      </c>
      <c r="O19" s="142">
        <f t="shared" si="2"/>
        <v>29.043478260869566</v>
      </c>
      <c r="P19" s="63"/>
      <c r="Q19" s="49"/>
    </row>
    <row r="20" spans="1:17" ht="27.95" customHeight="1" x14ac:dyDescent="0.45">
      <c r="A20" s="143">
        <v>4</v>
      </c>
      <c r="B20" s="7" t="s">
        <v>52</v>
      </c>
      <c r="C20" s="8">
        <v>1</v>
      </c>
      <c r="D20" s="8">
        <v>5</v>
      </c>
      <c r="E20" s="8">
        <v>115</v>
      </c>
      <c r="F20" s="8">
        <v>4</v>
      </c>
      <c r="G20" s="8">
        <v>150</v>
      </c>
      <c r="H20" s="8">
        <v>4</v>
      </c>
      <c r="I20" s="8">
        <v>120</v>
      </c>
      <c r="J20" s="8">
        <v>4</v>
      </c>
      <c r="K20" s="8">
        <v>140</v>
      </c>
      <c r="L20" s="10">
        <f>D20+F20+H20+J20</f>
        <v>17</v>
      </c>
      <c r="M20" s="10">
        <f>E20+G20+I20+K20</f>
        <v>525</v>
      </c>
      <c r="N20" s="11">
        <f>E20/D20</f>
        <v>23</v>
      </c>
      <c r="O20" s="11">
        <f>(G20+I20+K20)/(F20+H20+J20)</f>
        <v>34.166666666666664</v>
      </c>
      <c r="P20" s="64" t="s">
        <v>87</v>
      </c>
      <c r="Q20" s="48" t="s">
        <v>61</v>
      </c>
    </row>
    <row r="21" spans="1:17" ht="27.95" customHeight="1" x14ac:dyDescent="0.45">
      <c r="A21" s="144"/>
      <c r="B21" s="7" t="s">
        <v>60</v>
      </c>
      <c r="C21" s="8">
        <v>1</v>
      </c>
      <c r="D21" s="8">
        <v>3</v>
      </c>
      <c r="E21" s="8">
        <v>63</v>
      </c>
      <c r="F21" s="8">
        <v>3</v>
      </c>
      <c r="G21" s="8">
        <v>64</v>
      </c>
      <c r="H21" s="8">
        <v>3</v>
      </c>
      <c r="I21" s="8">
        <v>57</v>
      </c>
      <c r="J21" s="8">
        <v>3</v>
      </c>
      <c r="K21" s="8">
        <v>84</v>
      </c>
      <c r="L21" s="10">
        <f t="shared" ref="L21:L22" si="20">D21+F21+H21+J21</f>
        <v>12</v>
      </c>
      <c r="M21" s="10">
        <f t="shared" ref="M21:M22" si="21">E21+G21+I21+K21</f>
        <v>268</v>
      </c>
      <c r="N21" s="11">
        <f t="shared" ref="N21:N22" si="22">E21/D21</f>
        <v>21</v>
      </c>
      <c r="O21" s="11">
        <f t="shared" ref="O21:O22" si="23">(G21+I21+K21)/(F21+H21+J21)</f>
        <v>22.777777777777779</v>
      </c>
      <c r="P21" s="65"/>
      <c r="Q21" s="49"/>
    </row>
    <row r="22" spans="1:17" ht="27.95" customHeight="1" x14ac:dyDescent="0.45">
      <c r="A22" s="144"/>
      <c r="B22" s="3" t="s">
        <v>50</v>
      </c>
      <c r="C22" s="13">
        <v>4</v>
      </c>
      <c r="D22" s="4">
        <v>8</v>
      </c>
      <c r="E22" s="4">
        <v>200</v>
      </c>
      <c r="F22" s="4">
        <v>7</v>
      </c>
      <c r="G22" s="4">
        <v>166</v>
      </c>
      <c r="H22" s="4">
        <v>5</v>
      </c>
      <c r="I22" s="4">
        <v>126</v>
      </c>
      <c r="J22" s="4">
        <v>6</v>
      </c>
      <c r="K22" s="4">
        <v>155</v>
      </c>
      <c r="L22" s="10">
        <f t="shared" si="20"/>
        <v>26</v>
      </c>
      <c r="M22" s="10">
        <f t="shared" si="21"/>
        <v>647</v>
      </c>
      <c r="N22" s="11">
        <f t="shared" si="22"/>
        <v>25</v>
      </c>
      <c r="O22" s="11">
        <f t="shared" si="23"/>
        <v>24.833333333333332</v>
      </c>
      <c r="P22" s="65"/>
      <c r="Q22" s="49"/>
    </row>
    <row r="23" spans="1:17" ht="27.95" customHeight="1" x14ac:dyDescent="0.45">
      <c r="A23" s="145"/>
      <c r="B23" s="130" t="s">
        <v>59</v>
      </c>
      <c r="C23" s="141">
        <f>SUM(C20:C22)</f>
        <v>6</v>
      </c>
      <c r="D23" s="141">
        <f t="shared" ref="D23:M23" si="24">SUM(D20:D22)</f>
        <v>16</v>
      </c>
      <c r="E23" s="141">
        <f t="shared" si="24"/>
        <v>378</v>
      </c>
      <c r="F23" s="141">
        <f t="shared" si="24"/>
        <v>14</v>
      </c>
      <c r="G23" s="141">
        <f t="shared" si="24"/>
        <v>380</v>
      </c>
      <c r="H23" s="141">
        <f t="shared" si="24"/>
        <v>12</v>
      </c>
      <c r="I23" s="141">
        <f t="shared" si="24"/>
        <v>303</v>
      </c>
      <c r="J23" s="141">
        <f t="shared" si="24"/>
        <v>13</v>
      </c>
      <c r="K23" s="141">
        <f t="shared" si="24"/>
        <v>379</v>
      </c>
      <c r="L23" s="141">
        <f t="shared" si="24"/>
        <v>55</v>
      </c>
      <c r="M23" s="141">
        <f t="shared" si="24"/>
        <v>1440</v>
      </c>
      <c r="N23" s="142">
        <f t="shared" ref="N23" si="25">E23/D23</f>
        <v>23.625</v>
      </c>
      <c r="O23" s="142">
        <f t="shared" ref="O23" si="26">(G23+I23+K23)/(F23+H23+J23)</f>
        <v>27.23076923076923</v>
      </c>
      <c r="P23" s="66"/>
      <c r="Q23" s="49"/>
    </row>
    <row r="24" spans="1:17" ht="27.95" customHeight="1" x14ac:dyDescent="0.45">
      <c r="A24" s="146">
        <v>5</v>
      </c>
      <c r="B24" s="14" t="s">
        <v>56</v>
      </c>
      <c r="C24" s="8">
        <v>1</v>
      </c>
      <c r="D24" s="8">
        <v>5</v>
      </c>
      <c r="E24" s="8">
        <v>118</v>
      </c>
      <c r="F24" s="8">
        <v>3</v>
      </c>
      <c r="G24" s="8">
        <v>113</v>
      </c>
      <c r="H24" s="8">
        <v>3</v>
      </c>
      <c r="I24" s="8">
        <v>72</v>
      </c>
      <c r="J24" s="8">
        <v>4</v>
      </c>
      <c r="K24" s="8">
        <v>117</v>
      </c>
      <c r="L24" s="10">
        <f>D24+F24+H24+J24</f>
        <v>15</v>
      </c>
      <c r="M24" s="10">
        <f>E24+G24+I24+K24</f>
        <v>420</v>
      </c>
      <c r="N24" s="12">
        <f>E24/D24</f>
        <v>23.6</v>
      </c>
      <c r="O24" s="12">
        <f>(G24+I24+K24)/(F24+H24+J24)</f>
        <v>30.2</v>
      </c>
      <c r="P24" s="67" t="s">
        <v>74</v>
      </c>
      <c r="Q24" s="48" t="s">
        <v>61</v>
      </c>
    </row>
    <row r="25" spans="1:17" ht="27.95" customHeight="1" x14ac:dyDescent="0.45">
      <c r="A25" s="147"/>
      <c r="B25" s="14" t="s">
        <v>57</v>
      </c>
      <c r="C25" s="8">
        <v>3</v>
      </c>
      <c r="D25" s="8">
        <v>5</v>
      </c>
      <c r="E25" s="8">
        <v>133</v>
      </c>
      <c r="F25" s="8">
        <v>5</v>
      </c>
      <c r="G25" s="8">
        <v>142</v>
      </c>
      <c r="H25" s="8">
        <v>4</v>
      </c>
      <c r="I25" s="8">
        <v>115</v>
      </c>
      <c r="J25" s="8">
        <v>4</v>
      </c>
      <c r="K25" s="8">
        <v>100</v>
      </c>
      <c r="L25" s="10">
        <f t="shared" ref="L25:M25" si="27">D25+F25+H25+J25</f>
        <v>18</v>
      </c>
      <c r="M25" s="10">
        <f t="shared" si="27"/>
        <v>490</v>
      </c>
      <c r="N25" s="11">
        <f t="shared" ref="N25:N27" si="28">E25/D25</f>
        <v>26.6</v>
      </c>
      <c r="O25" s="11">
        <f t="shared" ref="O25:O27" si="29">(G25+I25+K25)/(F25+H25+J25)</f>
        <v>27.46153846153846</v>
      </c>
      <c r="P25" s="68"/>
      <c r="Q25" s="49"/>
    </row>
    <row r="26" spans="1:17" ht="27.95" customHeight="1" x14ac:dyDescent="0.45">
      <c r="A26" s="147"/>
      <c r="B26" s="140" t="s">
        <v>59</v>
      </c>
      <c r="C26" s="141">
        <f>SUM(C24:C25)</f>
        <v>4</v>
      </c>
      <c r="D26" s="141">
        <f t="shared" ref="D26:K26" si="30">SUM(D20:D25)</f>
        <v>42</v>
      </c>
      <c r="E26" s="141">
        <f t="shared" si="30"/>
        <v>1007</v>
      </c>
      <c r="F26" s="141">
        <f t="shared" si="30"/>
        <v>36</v>
      </c>
      <c r="G26" s="141">
        <f t="shared" si="30"/>
        <v>1015</v>
      </c>
      <c r="H26" s="141">
        <f t="shared" si="30"/>
        <v>31</v>
      </c>
      <c r="I26" s="141">
        <f t="shared" si="30"/>
        <v>793</v>
      </c>
      <c r="J26" s="141">
        <f t="shared" si="30"/>
        <v>34</v>
      </c>
      <c r="K26" s="141">
        <f t="shared" si="30"/>
        <v>975</v>
      </c>
      <c r="L26" s="141">
        <f>SUM(L24:L25)</f>
        <v>33</v>
      </c>
      <c r="M26" s="141">
        <f>SUM(M24:M25)</f>
        <v>910</v>
      </c>
      <c r="N26" s="142">
        <f t="shared" si="28"/>
        <v>23.976190476190474</v>
      </c>
      <c r="O26" s="142">
        <f t="shared" si="29"/>
        <v>27.554455445544555</v>
      </c>
      <c r="P26" s="69"/>
      <c r="Q26" s="49"/>
    </row>
    <row r="27" spans="1:17" ht="27.95" customHeight="1" x14ac:dyDescent="0.45">
      <c r="A27" s="146">
        <v>6</v>
      </c>
      <c r="B27" s="3" t="s">
        <v>49</v>
      </c>
      <c r="C27" s="4">
        <v>3</v>
      </c>
      <c r="D27" s="4">
        <v>7</v>
      </c>
      <c r="E27" s="4">
        <v>216</v>
      </c>
      <c r="F27" s="4">
        <v>7</v>
      </c>
      <c r="G27" s="4">
        <v>209</v>
      </c>
      <c r="H27" s="4">
        <v>7</v>
      </c>
      <c r="I27" s="4">
        <v>204</v>
      </c>
      <c r="J27" s="4">
        <v>7</v>
      </c>
      <c r="K27" s="4">
        <v>246</v>
      </c>
      <c r="L27" s="15">
        <f t="shared" ref="L27:M28" si="31">D27+F27+H27+J27</f>
        <v>28</v>
      </c>
      <c r="M27" s="15">
        <f t="shared" si="31"/>
        <v>875</v>
      </c>
      <c r="N27" s="16">
        <f t="shared" si="28"/>
        <v>30.857142857142858</v>
      </c>
      <c r="O27" s="16">
        <f t="shared" si="29"/>
        <v>31.38095238095238</v>
      </c>
      <c r="P27" s="92" t="s">
        <v>70</v>
      </c>
      <c r="Q27" s="153" t="s">
        <v>106</v>
      </c>
    </row>
    <row r="28" spans="1:17" ht="46.5" customHeight="1" x14ac:dyDescent="0.45">
      <c r="A28" s="147"/>
      <c r="B28" s="3" t="s">
        <v>58</v>
      </c>
      <c r="C28" s="4">
        <v>2</v>
      </c>
      <c r="D28" s="4">
        <v>4</v>
      </c>
      <c r="E28" s="4">
        <v>100</v>
      </c>
      <c r="F28" s="4">
        <v>6</v>
      </c>
      <c r="G28" s="4">
        <v>193</v>
      </c>
      <c r="H28" s="4">
        <v>5</v>
      </c>
      <c r="I28" s="4">
        <v>163</v>
      </c>
      <c r="J28" s="4">
        <v>5</v>
      </c>
      <c r="K28" s="4">
        <v>133</v>
      </c>
      <c r="L28" s="5">
        <f t="shared" si="31"/>
        <v>20</v>
      </c>
      <c r="M28" s="5">
        <f t="shared" si="31"/>
        <v>589</v>
      </c>
      <c r="N28" s="9">
        <f>E28/D28</f>
        <v>25</v>
      </c>
      <c r="O28" s="9">
        <f>(G28+I28+K28)/(F28+H28+J28)</f>
        <v>30.5625</v>
      </c>
      <c r="P28" s="93"/>
      <c r="Q28" s="154"/>
    </row>
    <row r="29" spans="1:17" ht="60.4" customHeight="1" x14ac:dyDescent="0.45">
      <c r="A29" s="147"/>
      <c r="B29" s="138" t="s">
        <v>59</v>
      </c>
      <c r="C29" s="139">
        <f>SUM(C27:C28)</f>
        <v>5</v>
      </c>
      <c r="D29" s="139">
        <f t="shared" ref="D29:M29" si="32">SUM(D27:D28)</f>
        <v>11</v>
      </c>
      <c r="E29" s="139">
        <f t="shared" si="32"/>
        <v>316</v>
      </c>
      <c r="F29" s="139">
        <f t="shared" si="32"/>
        <v>13</v>
      </c>
      <c r="G29" s="139">
        <f t="shared" si="32"/>
        <v>402</v>
      </c>
      <c r="H29" s="139">
        <f t="shared" si="32"/>
        <v>12</v>
      </c>
      <c r="I29" s="139">
        <f t="shared" si="32"/>
        <v>367</v>
      </c>
      <c r="J29" s="139">
        <f t="shared" si="32"/>
        <v>12</v>
      </c>
      <c r="K29" s="139">
        <f t="shared" si="32"/>
        <v>379</v>
      </c>
      <c r="L29" s="139">
        <f t="shared" si="32"/>
        <v>48</v>
      </c>
      <c r="M29" s="139">
        <f t="shared" si="32"/>
        <v>1464</v>
      </c>
      <c r="N29" s="139">
        <f>E29/D29</f>
        <v>28.727272727272727</v>
      </c>
      <c r="O29" s="139">
        <f>(G29+I29+K29)/(F29+H29+J29)</f>
        <v>31.027027027027028</v>
      </c>
      <c r="P29" s="94"/>
      <c r="Q29" s="155"/>
    </row>
    <row r="30" spans="1:17" ht="10.5" customHeight="1" x14ac:dyDescent="0.45">
      <c r="A30" s="21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4"/>
      <c r="O30" s="24"/>
      <c r="P30" s="24"/>
      <c r="Q30" s="25"/>
    </row>
    <row r="31" spans="1:17" ht="24.95" customHeight="1" x14ac:dyDescent="0.45">
      <c r="A31" s="132" t="s">
        <v>93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</row>
    <row r="32" spans="1:17" ht="24.95" customHeight="1" x14ac:dyDescent="0.45">
      <c r="A32" s="57" t="s">
        <v>94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</row>
    <row r="33" spans="1:17" s="26" customFormat="1" ht="24.95" customHeight="1" x14ac:dyDescent="0.4">
      <c r="A33" s="44" t="s">
        <v>0</v>
      </c>
      <c r="B33" s="44" t="s">
        <v>15</v>
      </c>
      <c r="C33" s="44" t="s">
        <v>69</v>
      </c>
      <c r="D33" s="44"/>
      <c r="E33" s="44"/>
      <c r="F33" s="44"/>
      <c r="G33" s="44"/>
      <c r="H33" s="44"/>
      <c r="I33" s="44"/>
      <c r="J33" s="44"/>
      <c r="K33" s="44"/>
      <c r="L33" s="44"/>
      <c r="M33" s="44" t="s">
        <v>1</v>
      </c>
      <c r="N33" s="44"/>
      <c r="O33" s="44"/>
      <c r="P33" s="50" t="s">
        <v>68</v>
      </c>
      <c r="Q33" s="44" t="s">
        <v>16</v>
      </c>
    </row>
    <row r="34" spans="1:17" s="26" customFormat="1" ht="24.95" customHeight="1" x14ac:dyDescent="0.4">
      <c r="A34" s="44"/>
      <c r="B34" s="44"/>
      <c r="C34" s="44" t="s">
        <v>25</v>
      </c>
      <c r="D34" s="44"/>
      <c r="E34" s="44" t="s">
        <v>26</v>
      </c>
      <c r="F34" s="44"/>
      <c r="G34" s="44" t="s">
        <v>27</v>
      </c>
      <c r="H34" s="44"/>
      <c r="I34" s="44" t="s">
        <v>28</v>
      </c>
      <c r="J34" s="44"/>
      <c r="K34" s="44" t="s">
        <v>29</v>
      </c>
      <c r="L34" s="44"/>
      <c r="M34" s="44"/>
      <c r="N34" s="44"/>
      <c r="O34" s="44"/>
      <c r="P34" s="51"/>
      <c r="Q34" s="44"/>
    </row>
    <row r="35" spans="1:17" s="26" customFormat="1" ht="34.5" customHeight="1" x14ac:dyDescent="0.4">
      <c r="A35" s="44"/>
      <c r="B35" s="44"/>
      <c r="C35" s="32" t="s">
        <v>14</v>
      </c>
      <c r="D35" s="32" t="s">
        <v>6</v>
      </c>
      <c r="E35" s="32" t="s">
        <v>14</v>
      </c>
      <c r="F35" s="32" t="s">
        <v>6</v>
      </c>
      <c r="G35" s="32" t="s">
        <v>14</v>
      </c>
      <c r="H35" s="32" t="s">
        <v>6</v>
      </c>
      <c r="I35" s="32" t="s">
        <v>14</v>
      </c>
      <c r="J35" s="32" t="s">
        <v>6</v>
      </c>
      <c r="K35" s="32" t="s">
        <v>14</v>
      </c>
      <c r="L35" s="32" t="s">
        <v>6</v>
      </c>
      <c r="M35" s="32" t="s">
        <v>14</v>
      </c>
      <c r="N35" s="32" t="s">
        <v>6</v>
      </c>
      <c r="O35" s="32" t="s">
        <v>13</v>
      </c>
      <c r="P35" s="52"/>
      <c r="Q35" s="44"/>
    </row>
    <row r="36" spans="1:17" ht="65.25" customHeight="1" x14ac:dyDescent="0.45">
      <c r="A36" s="27">
        <v>1</v>
      </c>
      <c r="B36" s="1" t="s">
        <v>34</v>
      </c>
      <c r="C36" s="28">
        <v>6</v>
      </c>
      <c r="D36" s="28">
        <v>175</v>
      </c>
      <c r="E36" s="28">
        <v>6</v>
      </c>
      <c r="F36" s="28">
        <v>227</v>
      </c>
      <c r="G36" s="28">
        <v>5</v>
      </c>
      <c r="H36" s="28">
        <v>182</v>
      </c>
      <c r="I36" s="28">
        <v>6</v>
      </c>
      <c r="J36" s="28">
        <v>221</v>
      </c>
      <c r="K36" s="28">
        <v>5</v>
      </c>
      <c r="L36" s="28">
        <v>204</v>
      </c>
      <c r="M36" s="28">
        <f>C36+E36+G36+I36+K36</f>
        <v>28</v>
      </c>
      <c r="N36" s="28">
        <f>D36+F36+H36+J36+L36</f>
        <v>1009</v>
      </c>
      <c r="O36" s="29">
        <f t="shared" ref="O36" si="33">N36/M36</f>
        <v>36.035714285714285</v>
      </c>
      <c r="P36" s="30" t="s">
        <v>75</v>
      </c>
      <c r="Q36" s="41" t="s">
        <v>101</v>
      </c>
    </row>
    <row r="37" spans="1:17" ht="24.95" customHeight="1" x14ac:dyDescent="0.45">
      <c r="A37" s="59" t="s">
        <v>95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</row>
    <row r="38" spans="1:17" s="26" customFormat="1" ht="24.95" customHeight="1" x14ac:dyDescent="0.4">
      <c r="A38" s="44" t="s">
        <v>0</v>
      </c>
      <c r="B38" s="44" t="s">
        <v>15</v>
      </c>
      <c r="C38" s="44" t="s">
        <v>69</v>
      </c>
      <c r="D38" s="44"/>
      <c r="E38" s="44"/>
      <c r="F38" s="44"/>
      <c r="G38" s="44"/>
      <c r="H38" s="44"/>
      <c r="I38" s="44"/>
      <c r="J38" s="44"/>
      <c r="K38" s="44"/>
      <c r="L38" s="44"/>
      <c r="M38" s="44" t="s">
        <v>1</v>
      </c>
      <c r="N38" s="44"/>
      <c r="O38" s="44"/>
      <c r="P38" s="50" t="s">
        <v>68</v>
      </c>
      <c r="Q38" s="44" t="s">
        <v>16</v>
      </c>
    </row>
    <row r="39" spans="1:17" s="26" customFormat="1" ht="24.95" customHeight="1" x14ac:dyDescent="0.4">
      <c r="A39" s="44"/>
      <c r="B39" s="44"/>
      <c r="C39" s="44" t="s">
        <v>25</v>
      </c>
      <c r="D39" s="44"/>
      <c r="E39" s="44" t="s">
        <v>26</v>
      </c>
      <c r="F39" s="44"/>
      <c r="G39" s="44" t="s">
        <v>27</v>
      </c>
      <c r="H39" s="44"/>
      <c r="I39" s="44" t="s">
        <v>28</v>
      </c>
      <c r="J39" s="44"/>
      <c r="K39" s="44" t="s">
        <v>29</v>
      </c>
      <c r="L39" s="44"/>
      <c r="M39" s="44"/>
      <c r="N39" s="44"/>
      <c r="O39" s="44"/>
      <c r="P39" s="51"/>
      <c r="Q39" s="44"/>
    </row>
    <row r="40" spans="1:17" s="26" customFormat="1" ht="33.75" customHeight="1" x14ac:dyDescent="0.4">
      <c r="A40" s="44"/>
      <c r="B40" s="44"/>
      <c r="C40" s="32" t="s">
        <v>14</v>
      </c>
      <c r="D40" s="32" t="s">
        <v>6</v>
      </c>
      <c r="E40" s="32" t="s">
        <v>14</v>
      </c>
      <c r="F40" s="32" t="s">
        <v>6</v>
      </c>
      <c r="G40" s="32" t="s">
        <v>14</v>
      </c>
      <c r="H40" s="32" t="s">
        <v>6</v>
      </c>
      <c r="I40" s="32" t="s">
        <v>14</v>
      </c>
      <c r="J40" s="32" t="s">
        <v>6</v>
      </c>
      <c r="K40" s="32" t="s">
        <v>14</v>
      </c>
      <c r="L40" s="32" t="s">
        <v>6</v>
      </c>
      <c r="M40" s="32" t="s">
        <v>14</v>
      </c>
      <c r="N40" s="32" t="s">
        <v>6</v>
      </c>
      <c r="O40" s="32" t="s">
        <v>13</v>
      </c>
      <c r="P40" s="52"/>
      <c r="Q40" s="44"/>
    </row>
    <row r="41" spans="1:17" s="26" customFormat="1" ht="27.95" customHeight="1" x14ac:dyDescent="0.4">
      <c r="A41" s="45">
        <v>1</v>
      </c>
      <c r="B41" s="1" t="s">
        <v>35</v>
      </c>
      <c r="C41" s="28">
        <v>9</v>
      </c>
      <c r="D41" s="28">
        <v>376</v>
      </c>
      <c r="E41" s="28">
        <v>9</v>
      </c>
      <c r="F41" s="28">
        <v>438</v>
      </c>
      <c r="G41" s="28">
        <v>7</v>
      </c>
      <c r="H41" s="28">
        <v>355</v>
      </c>
      <c r="I41" s="28">
        <v>7</v>
      </c>
      <c r="J41" s="28">
        <v>383</v>
      </c>
      <c r="K41" s="28">
        <v>6</v>
      </c>
      <c r="L41" s="28">
        <v>335</v>
      </c>
      <c r="M41" s="31">
        <f>C41+E41+G41+I41+K41</f>
        <v>38</v>
      </c>
      <c r="N41" s="28">
        <f>D41+F41+H41+J41+L41</f>
        <v>1887</v>
      </c>
      <c r="O41" s="29">
        <f t="shared" ref="O41:O42" si="34">N41/M41</f>
        <v>49.657894736842103</v>
      </c>
      <c r="P41" s="53" t="s">
        <v>76</v>
      </c>
      <c r="Q41" s="48" t="s">
        <v>89</v>
      </c>
    </row>
    <row r="42" spans="1:17" s="26" customFormat="1" ht="27.95" customHeight="1" x14ac:dyDescent="0.4">
      <c r="A42" s="46"/>
      <c r="B42" s="1" t="s">
        <v>37</v>
      </c>
      <c r="C42" s="28">
        <v>3</v>
      </c>
      <c r="D42" s="28">
        <v>107</v>
      </c>
      <c r="E42" s="28">
        <v>4</v>
      </c>
      <c r="F42" s="28">
        <v>115</v>
      </c>
      <c r="G42" s="28">
        <v>4</v>
      </c>
      <c r="H42" s="28">
        <v>121</v>
      </c>
      <c r="I42" s="28">
        <v>3</v>
      </c>
      <c r="J42" s="28">
        <v>97</v>
      </c>
      <c r="K42" s="28">
        <v>3</v>
      </c>
      <c r="L42" s="28">
        <v>99</v>
      </c>
      <c r="M42" s="31">
        <f>C42+E42+G42+I42+K42</f>
        <v>17</v>
      </c>
      <c r="N42" s="28">
        <f>D42+F42+H42+J42+L42</f>
        <v>539</v>
      </c>
      <c r="O42" s="29">
        <f t="shared" si="34"/>
        <v>31.705882352941178</v>
      </c>
      <c r="P42" s="54"/>
      <c r="Q42" s="49"/>
    </row>
    <row r="43" spans="1:17" s="26" customFormat="1" ht="27.95" customHeight="1" x14ac:dyDescent="0.4">
      <c r="A43" s="47"/>
      <c r="B43" s="130" t="s">
        <v>7</v>
      </c>
      <c r="C43" s="137">
        <f t="shared" ref="C43" si="35">SUM(C41:C42)</f>
        <v>12</v>
      </c>
      <c r="D43" s="137">
        <f t="shared" ref="D43:N43" si="36">SUM(D41:D42)</f>
        <v>483</v>
      </c>
      <c r="E43" s="137">
        <f t="shared" si="36"/>
        <v>13</v>
      </c>
      <c r="F43" s="137">
        <f t="shared" si="36"/>
        <v>553</v>
      </c>
      <c r="G43" s="137">
        <f t="shared" si="36"/>
        <v>11</v>
      </c>
      <c r="H43" s="137">
        <f t="shared" si="36"/>
        <v>476</v>
      </c>
      <c r="I43" s="137">
        <f t="shared" si="36"/>
        <v>10</v>
      </c>
      <c r="J43" s="137">
        <f t="shared" si="36"/>
        <v>480</v>
      </c>
      <c r="K43" s="137">
        <f t="shared" si="36"/>
        <v>9</v>
      </c>
      <c r="L43" s="137">
        <f t="shared" si="36"/>
        <v>434</v>
      </c>
      <c r="M43" s="137">
        <f t="shared" si="36"/>
        <v>55</v>
      </c>
      <c r="N43" s="137">
        <f t="shared" si="36"/>
        <v>2426</v>
      </c>
      <c r="O43" s="131">
        <f t="shared" ref="O43" si="37">N43/M43</f>
        <v>44.109090909090909</v>
      </c>
      <c r="P43" s="33"/>
      <c r="Q43" s="49"/>
    </row>
    <row r="44" spans="1:17" ht="27.95" customHeight="1" x14ac:dyDescent="0.45">
      <c r="A44" s="45">
        <v>2</v>
      </c>
      <c r="B44" s="1" t="s">
        <v>32</v>
      </c>
      <c r="C44" s="28">
        <v>3</v>
      </c>
      <c r="D44" s="28">
        <v>103</v>
      </c>
      <c r="E44" s="28">
        <v>5</v>
      </c>
      <c r="F44" s="28">
        <v>155</v>
      </c>
      <c r="G44" s="28">
        <v>4</v>
      </c>
      <c r="H44" s="28">
        <v>134</v>
      </c>
      <c r="I44" s="28">
        <v>5</v>
      </c>
      <c r="J44" s="28">
        <v>153</v>
      </c>
      <c r="K44" s="28">
        <v>4</v>
      </c>
      <c r="L44" s="28">
        <v>122</v>
      </c>
      <c r="M44" s="28">
        <f>C44+E44+G44+I44+K44</f>
        <v>21</v>
      </c>
      <c r="N44" s="28">
        <f>D44+F44+H44+J44+L44</f>
        <v>667</v>
      </c>
      <c r="O44" s="34">
        <f>N44/M44</f>
        <v>31.761904761904763</v>
      </c>
      <c r="P44" s="55" t="s">
        <v>77</v>
      </c>
      <c r="Q44" s="48" t="s">
        <v>102</v>
      </c>
    </row>
    <row r="45" spans="1:17" ht="27.95" customHeight="1" x14ac:dyDescent="0.45">
      <c r="A45" s="46"/>
      <c r="B45" s="1" t="s">
        <v>33</v>
      </c>
      <c r="C45" s="28">
        <v>5</v>
      </c>
      <c r="D45" s="28">
        <v>142</v>
      </c>
      <c r="E45" s="28">
        <v>4</v>
      </c>
      <c r="F45" s="28">
        <v>122</v>
      </c>
      <c r="G45" s="28">
        <v>4</v>
      </c>
      <c r="H45" s="28">
        <v>111</v>
      </c>
      <c r="I45" s="28">
        <v>3</v>
      </c>
      <c r="J45" s="28">
        <v>95</v>
      </c>
      <c r="K45" s="28">
        <v>3</v>
      </c>
      <c r="L45" s="28">
        <v>100</v>
      </c>
      <c r="M45" s="28">
        <f>C45+E45+G45+I45+K45</f>
        <v>19</v>
      </c>
      <c r="N45" s="28">
        <f>D45+F45+H45+J45+L45</f>
        <v>570</v>
      </c>
      <c r="O45" s="34">
        <f>N45/M45</f>
        <v>30</v>
      </c>
      <c r="P45" s="56"/>
      <c r="Q45" s="49"/>
    </row>
    <row r="46" spans="1:17" ht="27.95" customHeight="1" x14ac:dyDescent="0.45">
      <c r="A46" s="47"/>
      <c r="B46" s="130" t="s">
        <v>7</v>
      </c>
      <c r="C46" s="137">
        <f t="shared" ref="C46" si="38">SUM(C44:C45)</f>
        <v>8</v>
      </c>
      <c r="D46" s="137">
        <f t="shared" ref="D46" si="39">SUM(D44:D45)</f>
        <v>245</v>
      </c>
      <c r="E46" s="137">
        <f t="shared" ref="E46" si="40">SUM(E44:E45)</f>
        <v>9</v>
      </c>
      <c r="F46" s="137">
        <f t="shared" ref="F46" si="41">SUM(F44:F45)</f>
        <v>277</v>
      </c>
      <c r="G46" s="137">
        <f t="shared" ref="G46" si="42">SUM(G44:G45)</f>
        <v>8</v>
      </c>
      <c r="H46" s="137">
        <f t="shared" ref="H46" si="43">SUM(H44:H45)</f>
        <v>245</v>
      </c>
      <c r="I46" s="137">
        <f t="shared" ref="I46" si="44">SUM(I44:I45)</f>
        <v>8</v>
      </c>
      <c r="J46" s="137">
        <f t="shared" ref="J46" si="45">SUM(J44:J45)</f>
        <v>248</v>
      </c>
      <c r="K46" s="137">
        <f t="shared" ref="K46" si="46">SUM(K44:K45)</f>
        <v>7</v>
      </c>
      <c r="L46" s="137">
        <f t="shared" ref="L46" si="47">SUM(L44:L45)</f>
        <v>222</v>
      </c>
      <c r="M46" s="137">
        <f t="shared" ref="M46" si="48">SUM(M44:M45)</f>
        <v>40</v>
      </c>
      <c r="N46" s="137">
        <f t="shared" ref="N46" si="49">SUM(N44:N45)</f>
        <v>1237</v>
      </c>
      <c r="O46" s="131">
        <f t="shared" ref="O46" si="50">N46/M46</f>
        <v>30.925000000000001</v>
      </c>
      <c r="P46" s="33"/>
      <c r="Q46" s="49"/>
    </row>
    <row r="47" spans="1:17" ht="15.75" customHeight="1" x14ac:dyDescent="0.45"/>
    <row r="48" spans="1:17" ht="24.95" customHeight="1" x14ac:dyDescent="0.45">
      <c r="A48" s="132" t="s">
        <v>96</v>
      </c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</row>
    <row r="49" spans="1:20" ht="24.95" customHeight="1" x14ac:dyDescent="0.45">
      <c r="A49" s="57" t="s">
        <v>97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</row>
    <row r="50" spans="1:20" s="26" customFormat="1" ht="24.95" customHeight="1" x14ac:dyDescent="0.4">
      <c r="A50" s="44" t="s">
        <v>0</v>
      </c>
      <c r="B50" s="44" t="s">
        <v>15</v>
      </c>
      <c r="C50" s="44" t="s">
        <v>69</v>
      </c>
      <c r="D50" s="44"/>
      <c r="E50" s="44"/>
      <c r="F50" s="44"/>
      <c r="G50" s="44"/>
      <c r="H50" s="44"/>
      <c r="I50" s="44"/>
      <c r="J50" s="44"/>
      <c r="K50" s="44" t="s">
        <v>1</v>
      </c>
      <c r="L50" s="44"/>
      <c r="M50" s="44"/>
      <c r="N50" s="70" t="s">
        <v>68</v>
      </c>
      <c r="O50" s="71"/>
      <c r="P50" s="74" t="s">
        <v>16</v>
      </c>
      <c r="Q50" s="75"/>
    </row>
    <row r="51" spans="1:20" s="26" customFormat="1" ht="24.95" customHeight="1" x14ac:dyDescent="0.4">
      <c r="A51" s="44"/>
      <c r="B51" s="44"/>
      <c r="C51" s="44" t="s">
        <v>2</v>
      </c>
      <c r="D51" s="44"/>
      <c r="E51" s="44" t="s">
        <v>3</v>
      </c>
      <c r="F51" s="44"/>
      <c r="G51" s="44" t="s">
        <v>4</v>
      </c>
      <c r="H51" s="44"/>
      <c r="I51" s="44" t="s">
        <v>5</v>
      </c>
      <c r="J51" s="44"/>
      <c r="K51" s="44"/>
      <c r="L51" s="44"/>
      <c r="M51" s="44"/>
      <c r="N51" s="72"/>
      <c r="O51" s="73"/>
      <c r="P51" s="76"/>
      <c r="Q51" s="77"/>
    </row>
    <row r="52" spans="1:20" s="26" customFormat="1" ht="33" customHeight="1" x14ac:dyDescent="0.4">
      <c r="A52" s="44"/>
      <c r="B52" s="44"/>
      <c r="C52" s="32" t="s">
        <v>14</v>
      </c>
      <c r="D52" s="32" t="s">
        <v>6</v>
      </c>
      <c r="E52" s="32" t="s">
        <v>14</v>
      </c>
      <c r="F52" s="32" t="s">
        <v>6</v>
      </c>
      <c r="G52" s="32" t="s">
        <v>14</v>
      </c>
      <c r="H52" s="32" t="s">
        <v>6</v>
      </c>
      <c r="I52" s="32" t="s">
        <v>14</v>
      </c>
      <c r="J52" s="32" t="s">
        <v>6</v>
      </c>
      <c r="K52" s="32" t="s">
        <v>14</v>
      </c>
      <c r="L52" s="32" t="s">
        <v>6</v>
      </c>
      <c r="M52" s="32" t="s">
        <v>13</v>
      </c>
      <c r="N52" s="72"/>
      <c r="O52" s="73"/>
      <c r="P52" s="78"/>
      <c r="Q52" s="79"/>
    </row>
    <row r="53" spans="1:20" ht="27.95" customHeight="1" x14ac:dyDescent="0.45">
      <c r="A53" s="27">
        <v>1</v>
      </c>
      <c r="B53" s="1" t="s">
        <v>20</v>
      </c>
      <c r="C53" s="28">
        <v>8</v>
      </c>
      <c r="D53" s="28">
        <v>320</v>
      </c>
      <c r="E53" s="28">
        <v>7</v>
      </c>
      <c r="F53" s="28">
        <v>320</v>
      </c>
      <c r="G53" s="28">
        <v>7</v>
      </c>
      <c r="H53" s="28">
        <v>303</v>
      </c>
      <c r="I53" s="28">
        <v>8</v>
      </c>
      <c r="J53" s="28">
        <v>351</v>
      </c>
      <c r="K53" s="28">
        <v>30</v>
      </c>
      <c r="L53" s="28">
        <v>1294</v>
      </c>
      <c r="M53" s="29">
        <f t="shared" ref="M53:M54" si="51">L53/K53</f>
        <v>43.133333333333333</v>
      </c>
      <c r="N53" s="80" t="s">
        <v>78</v>
      </c>
      <c r="O53" s="80"/>
      <c r="P53" s="81" t="s">
        <v>107</v>
      </c>
      <c r="Q53" s="82"/>
    </row>
    <row r="54" spans="1:20" ht="27.95" customHeight="1" x14ac:dyDescent="0.45">
      <c r="A54" s="27">
        <v>2</v>
      </c>
      <c r="B54" s="1" t="s">
        <v>12</v>
      </c>
      <c r="C54" s="28">
        <v>7</v>
      </c>
      <c r="D54" s="28">
        <v>250</v>
      </c>
      <c r="E54" s="28">
        <v>7</v>
      </c>
      <c r="F54" s="28">
        <v>279</v>
      </c>
      <c r="G54" s="28">
        <v>6</v>
      </c>
      <c r="H54" s="28">
        <v>234</v>
      </c>
      <c r="I54" s="28">
        <v>5</v>
      </c>
      <c r="J54" s="28">
        <v>233</v>
      </c>
      <c r="K54" s="28">
        <v>25</v>
      </c>
      <c r="L54" s="28">
        <f>SUM(D54+F54+H54+J54)</f>
        <v>996</v>
      </c>
      <c r="M54" s="29">
        <f t="shared" si="51"/>
        <v>39.840000000000003</v>
      </c>
      <c r="N54" s="80" t="s">
        <v>79</v>
      </c>
      <c r="O54" s="80"/>
      <c r="P54" s="83"/>
      <c r="Q54" s="84"/>
    </row>
    <row r="55" spans="1:20" ht="27.95" customHeight="1" x14ac:dyDescent="0.45">
      <c r="A55" s="59" t="s">
        <v>98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1:20" s="26" customFormat="1" ht="24.95" customHeight="1" x14ac:dyDescent="0.4">
      <c r="A56" s="44" t="s">
        <v>0</v>
      </c>
      <c r="B56" s="44" t="s">
        <v>15</v>
      </c>
      <c r="C56" s="44" t="s">
        <v>69</v>
      </c>
      <c r="D56" s="44"/>
      <c r="E56" s="44"/>
      <c r="F56" s="44"/>
      <c r="G56" s="44"/>
      <c r="H56" s="44"/>
      <c r="I56" s="44"/>
      <c r="J56" s="44"/>
      <c r="K56" s="44" t="s">
        <v>1</v>
      </c>
      <c r="L56" s="44"/>
      <c r="M56" s="44"/>
      <c r="N56" s="70" t="s">
        <v>68</v>
      </c>
      <c r="O56" s="71"/>
      <c r="P56" s="74" t="s">
        <v>16</v>
      </c>
      <c r="Q56" s="75"/>
    </row>
    <row r="57" spans="1:20" s="26" customFormat="1" ht="24.95" customHeight="1" x14ac:dyDescent="0.4">
      <c r="A57" s="44"/>
      <c r="B57" s="44"/>
      <c r="C57" s="44" t="s">
        <v>2</v>
      </c>
      <c r="D57" s="44"/>
      <c r="E57" s="44" t="s">
        <v>3</v>
      </c>
      <c r="F57" s="44"/>
      <c r="G57" s="44" t="s">
        <v>4</v>
      </c>
      <c r="H57" s="44"/>
      <c r="I57" s="44" t="s">
        <v>5</v>
      </c>
      <c r="J57" s="44"/>
      <c r="K57" s="44"/>
      <c r="L57" s="44"/>
      <c r="M57" s="44"/>
      <c r="N57" s="72"/>
      <c r="O57" s="73"/>
      <c r="P57" s="76"/>
      <c r="Q57" s="77"/>
    </row>
    <row r="58" spans="1:20" s="26" customFormat="1" ht="36" customHeight="1" x14ac:dyDescent="0.4">
      <c r="A58" s="44"/>
      <c r="B58" s="44"/>
      <c r="C58" s="32" t="s">
        <v>14</v>
      </c>
      <c r="D58" s="32" t="s">
        <v>6</v>
      </c>
      <c r="E58" s="32" t="s">
        <v>14</v>
      </c>
      <c r="F58" s="32" t="s">
        <v>6</v>
      </c>
      <c r="G58" s="32" t="s">
        <v>14</v>
      </c>
      <c r="H58" s="32" t="s">
        <v>6</v>
      </c>
      <c r="I58" s="32" t="s">
        <v>14</v>
      </c>
      <c r="J58" s="32" t="s">
        <v>6</v>
      </c>
      <c r="K58" s="32" t="s">
        <v>14</v>
      </c>
      <c r="L58" s="32" t="s">
        <v>6</v>
      </c>
      <c r="M58" s="32" t="s">
        <v>13</v>
      </c>
      <c r="N58" s="72"/>
      <c r="O58" s="73"/>
      <c r="P58" s="78"/>
      <c r="Q58" s="79"/>
    </row>
    <row r="59" spans="1:20" ht="27.95" customHeight="1" x14ac:dyDescent="0.45">
      <c r="A59" s="133">
        <v>1</v>
      </c>
      <c r="B59" s="1" t="s">
        <v>9</v>
      </c>
      <c r="C59" s="35">
        <v>5</v>
      </c>
      <c r="D59" s="35">
        <v>182</v>
      </c>
      <c r="E59" s="35">
        <v>5</v>
      </c>
      <c r="F59" s="35">
        <v>205</v>
      </c>
      <c r="G59" s="35">
        <v>5</v>
      </c>
      <c r="H59" s="35">
        <v>200</v>
      </c>
      <c r="I59" s="35">
        <v>4</v>
      </c>
      <c r="J59" s="35">
        <v>152</v>
      </c>
      <c r="K59" s="35">
        <f>C59+E59+G59+I59</f>
        <v>19</v>
      </c>
      <c r="L59" s="35">
        <f>D59+F59+H59+J59</f>
        <v>739</v>
      </c>
      <c r="M59" s="36">
        <f>L59/K59</f>
        <v>38.89473684210526</v>
      </c>
      <c r="N59" s="80" t="s">
        <v>85</v>
      </c>
      <c r="O59" s="80"/>
      <c r="P59" s="81" t="s">
        <v>17</v>
      </c>
      <c r="Q59" s="82"/>
    </row>
    <row r="60" spans="1:20" ht="27.95" customHeight="1" x14ac:dyDescent="0.45">
      <c r="A60" s="134"/>
      <c r="B60" s="1" t="s">
        <v>19</v>
      </c>
      <c r="C60" s="35">
        <v>6</v>
      </c>
      <c r="D60" s="35">
        <v>268</v>
      </c>
      <c r="E60" s="35">
        <v>8</v>
      </c>
      <c r="F60" s="35">
        <v>321</v>
      </c>
      <c r="G60" s="35">
        <v>7</v>
      </c>
      <c r="H60" s="35">
        <v>294</v>
      </c>
      <c r="I60" s="35">
        <v>10</v>
      </c>
      <c r="J60" s="35">
        <v>398</v>
      </c>
      <c r="K60" s="35">
        <f>C60+E60+G60+I60</f>
        <v>31</v>
      </c>
      <c r="L60" s="35">
        <f>D60+F60+H60+J60</f>
        <v>1281</v>
      </c>
      <c r="M60" s="36">
        <f>L60/K60</f>
        <v>41.322580645161288</v>
      </c>
      <c r="N60" s="80"/>
      <c r="O60" s="80"/>
      <c r="P60" s="83"/>
      <c r="Q60" s="84"/>
    </row>
    <row r="61" spans="1:20" ht="27.95" customHeight="1" x14ac:dyDescent="0.45">
      <c r="A61" s="135"/>
      <c r="B61" s="130" t="s">
        <v>7</v>
      </c>
      <c r="C61" s="40">
        <f t="shared" ref="C61:K61" si="52">SUM(C59:C60)</f>
        <v>11</v>
      </c>
      <c r="D61" s="40">
        <f t="shared" si="52"/>
        <v>450</v>
      </c>
      <c r="E61" s="40">
        <f t="shared" si="52"/>
        <v>13</v>
      </c>
      <c r="F61" s="40">
        <f t="shared" si="52"/>
        <v>526</v>
      </c>
      <c r="G61" s="40">
        <f t="shared" si="52"/>
        <v>12</v>
      </c>
      <c r="H61" s="40">
        <f t="shared" si="52"/>
        <v>494</v>
      </c>
      <c r="I61" s="40">
        <f t="shared" si="52"/>
        <v>14</v>
      </c>
      <c r="J61" s="40">
        <f t="shared" si="52"/>
        <v>550</v>
      </c>
      <c r="K61" s="40">
        <f t="shared" si="52"/>
        <v>50</v>
      </c>
      <c r="L61" s="40">
        <f>SUM(L59:L60)</f>
        <v>2020</v>
      </c>
      <c r="M61" s="136">
        <f t="shared" ref="M61:M64" si="53">L61/K61</f>
        <v>40.4</v>
      </c>
      <c r="N61" s="80"/>
      <c r="O61" s="80"/>
      <c r="P61" s="85"/>
      <c r="Q61" s="86"/>
    </row>
    <row r="62" spans="1:20" ht="27.95" customHeight="1" x14ac:dyDescent="0.45">
      <c r="A62" s="133">
        <v>2</v>
      </c>
      <c r="B62" s="1" t="s">
        <v>11</v>
      </c>
      <c r="C62" s="35">
        <v>9</v>
      </c>
      <c r="D62" s="35">
        <v>300</v>
      </c>
      <c r="E62" s="35">
        <v>7</v>
      </c>
      <c r="F62" s="35">
        <v>248</v>
      </c>
      <c r="G62" s="35">
        <v>7</v>
      </c>
      <c r="H62" s="35">
        <v>264</v>
      </c>
      <c r="I62" s="35">
        <v>8</v>
      </c>
      <c r="J62" s="35">
        <v>300</v>
      </c>
      <c r="K62" s="35">
        <f>C62+E62+G62+I62</f>
        <v>31</v>
      </c>
      <c r="L62" s="35">
        <f>D62+F62+H62+J62</f>
        <v>1112</v>
      </c>
      <c r="M62" s="36">
        <f>L62/K62</f>
        <v>35.87096774193548</v>
      </c>
      <c r="N62" s="80" t="s">
        <v>86</v>
      </c>
      <c r="O62" s="80"/>
      <c r="P62" s="81" t="s">
        <v>103</v>
      </c>
      <c r="Q62" s="82"/>
    </row>
    <row r="63" spans="1:20" ht="27.95" customHeight="1" x14ac:dyDescent="0.45">
      <c r="A63" s="134"/>
      <c r="B63" s="1" t="s">
        <v>23</v>
      </c>
      <c r="C63" s="35">
        <v>3</v>
      </c>
      <c r="D63" s="35">
        <v>104</v>
      </c>
      <c r="E63" s="35">
        <v>3</v>
      </c>
      <c r="F63" s="35">
        <v>110</v>
      </c>
      <c r="G63" s="35">
        <v>3</v>
      </c>
      <c r="H63" s="35">
        <v>124</v>
      </c>
      <c r="I63" s="35">
        <v>5</v>
      </c>
      <c r="J63" s="35">
        <v>159</v>
      </c>
      <c r="K63" s="35">
        <f>C63+E63+G63+I63</f>
        <v>14</v>
      </c>
      <c r="L63" s="35">
        <f>D63+F63+H63+J63</f>
        <v>497</v>
      </c>
      <c r="M63" s="36">
        <f>L63/K63</f>
        <v>35.5</v>
      </c>
      <c r="N63" s="80"/>
      <c r="O63" s="80"/>
      <c r="P63" s="83"/>
      <c r="Q63" s="84"/>
    </row>
    <row r="64" spans="1:20" ht="27.95" customHeight="1" x14ac:dyDescent="0.45">
      <c r="A64" s="135"/>
      <c r="B64" s="130" t="s">
        <v>7</v>
      </c>
      <c r="C64" s="40">
        <f t="shared" ref="C64:L64" si="54">SUM(C62:C63)</f>
        <v>12</v>
      </c>
      <c r="D64" s="40">
        <f t="shared" si="54"/>
        <v>404</v>
      </c>
      <c r="E64" s="40">
        <f t="shared" si="54"/>
        <v>10</v>
      </c>
      <c r="F64" s="40">
        <f t="shared" si="54"/>
        <v>358</v>
      </c>
      <c r="G64" s="40">
        <f t="shared" si="54"/>
        <v>10</v>
      </c>
      <c r="H64" s="40">
        <f t="shared" si="54"/>
        <v>388</v>
      </c>
      <c r="I64" s="40">
        <f t="shared" si="54"/>
        <v>13</v>
      </c>
      <c r="J64" s="40">
        <f t="shared" si="54"/>
        <v>459</v>
      </c>
      <c r="K64" s="40">
        <f t="shared" si="54"/>
        <v>45</v>
      </c>
      <c r="L64" s="40">
        <f t="shared" si="54"/>
        <v>1609</v>
      </c>
      <c r="M64" s="136">
        <f t="shared" si="53"/>
        <v>35.755555555555553</v>
      </c>
      <c r="N64" s="80"/>
      <c r="O64" s="80"/>
      <c r="P64" s="85"/>
      <c r="Q64" s="86"/>
      <c r="T64" s="37"/>
    </row>
    <row r="66" spans="1:17" ht="24.95" customHeight="1" x14ac:dyDescent="0.45">
      <c r="A66" s="132" t="s">
        <v>99</v>
      </c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</row>
    <row r="67" spans="1:17" s="26" customFormat="1" ht="24.95" customHeight="1" x14ac:dyDescent="0.4">
      <c r="A67" s="44" t="s">
        <v>0</v>
      </c>
      <c r="B67" s="44" t="s">
        <v>65</v>
      </c>
      <c r="C67" s="44" t="s">
        <v>69</v>
      </c>
      <c r="D67" s="44"/>
      <c r="E67" s="44"/>
      <c r="F67" s="44"/>
      <c r="G67" s="44"/>
      <c r="H67" s="44"/>
      <c r="I67" s="44"/>
      <c r="J67" s="44"/>
      <c r="K67" s="44"/>
      <c r="L67" s="44"/>
      <c r="M67" s="44" t="s">
        <v>1</v>
      </c>
      <c r="N67" s="44"/>
      <c r="O67" s="44"/>
      <c r="P67" s="50" t="s">
        <v>68</v>
      </c>
      <c r="Q67" s="44" t="s">
        <v>16</v>
      </c>
    </row>
    <row r="68" spans="1:17" s="26" customFormat="1" ht="24.95" customHeight="1" x14ac:dyDescent="0.4">
      <c r="A68" s="44"/>
      <c r="B68" s="44"/>
      <c r="C68" s="44" t="s">
        <v>25</v>
      </c>
      <c r="D68" s="44"/>
      <c r="E68" s="44" t="s">
        <v>26</v>
      </c>
      <c r="F68" s="44"/>
      <c r="G68" s="44" t="s">
        <v>27</v>
      </c>
      <c r="H68" s="44"/>
      <c r="I68" s="44" t="s">
        <v>28</v>
      </c>
      <c r="J68" s="44"/>
      <c r="K68" s="44" t="s">
        <v>29</v>
      </c>
      <c r="L68" s="44"/>
      <c r="M68" s="44"/>
      <c r="N68" s="44"/>
      <c r="O68" s="44"/>
      <c r="P68" s="51"/>
      <c r="Q68" s="44"/>
    </row>
    <row r="69" spans="1:17" s="26" customFormat="1" ht="33.75" customHeight="1" x14ac:dyDescent="0.4">
      <c r="A69" s="44"/>
      <c r="B69" s="44"/>
      <c r="C69" s="32" t="s">
        <v>14</v>
      </c>
      <c r="D69" s="32" t="s">
        <v>6</v>
      </c>
      <c r="E69" s="32" t="s">
        <v>14</v>
      </c>
      <c r="F69" s="32" t="s">
        <v>6</v>
      </c>
      <c r="G69" s="32" t="s">
        <v>14</v>
      </c>
      <c r="H69" s="32" t="s">
        <v>6</v>
      </c>
      <c r="I69" s="32" t="s">
        <v>14</v>
      </c>
      <c r="J69" s="32" t="s">
        <v>6</v>
      </c>
      <c r="K69" s="32" t="s">
        <v>14</v>
      </c>
      <c r="L69" s="32" t="s">
        <v>6</v>
      </c>
      <c r="M69" s="32" t="s">
        <v>14</v>
      </c>
      <c r="N69" s="32" t="s">
        <v>6</v>
      </c>
      <c r="O69" s="32" t="s">
        <v>13</v>
      </c>
      <c r="P69" s="52"/>
      <c r="Q69" s="44"/>
    </row>
    <row r="70" spans="1:17" s="26" customFormat="1" ht="27.95" customHeight="1" x14ac:dyDescent="0.4">
      <c r="A70" s="71">
        <v>1</v>
      </c>
      <c r="B70" s="1" t="s">
        <v>31</v>
      </c>
      <c r="C70" s="28">
        <v>6</v>
      </c>
      <c r="D70" s="28">
        <v>200</v>
      </c>
      <c r="E70" s="28">
        <v>6</v>
      </c>
      <c r="F70" s="28">
        <v>194</v>
      </c>
      <c r="G70" s="28">
        <v>6</v>
      </c>
      <c r="H70" s="28">
        <v>194</v>
      </c>
      <c r="I70" s="28">
        <v>6</v>
      </c>
      <c r="J70" s="28">
        <v>187</v>
      </c>
      <c r="K70" s="28">
        <v>5</v>
      </c>
      <c r="L70" s="28">
        <v>153</v>
      </c>
      <c r="M70" s="38">
        <f>C70+E70+G70+I70+K70</f>
        <v>29</v>
      </c>
      <c r="N70" s="38">
        <f>D70+F70+H70+J70+L70</f>
        <v>928</v>
      </c>
      <c r="O70" s="43">
        <f>N70/M70</f>
        <v>32</v>
      </c>
      <c r="P70" s="105" t="s">
        <v>80</v>
      </c>
      <c r="Q70" s="48" t="s">
        <v>104</v>
      </c>
    </row>
    <row r="71" spans="1:17" ht="15.75" customHeight="1" x14ac:dyDescent="0.45">
      <c r="A71" s="127"/>
      <c r="B71" s="44" t="s">
        <v>66</v>
      </c>
      <c r="C71" s="44" t="s">
        <v>69</v>
      </c>
      <c r="D71" s="44"/>
      <c r="E71" s="44"/>
      <c r="F71" s="44"/>
      <c r="G71" s="44"/>
      <c r="H71" s="44"/>
      <c r="I71" s="44"/>
      <c r="J71" s="44"/>
      <c r="K71" s="108"/>
      <c r="L71" s="109"/>
      <c r="M71" s="74" t="s">
        <v>1</v>
      </c>
      <c r="N71" s="99"/>
      <c r="O71" s="100"/>
      <c r="P71" s="106"/>
      <c r="Q71" s="49"/>
    </row>
    <row r="72" spans="1:17" x14ac:dyDescent="0.45">
      <c r="A72" s="127"/>
      <c r="B72" s="44"/>
      <c r="C72" s="44" t="s">
        <v>2</v>
      </c>
      <c r="D72" s="44"/>
      <c r="E72" s="44" t="s">
        <v>3</v>
      </c>
      <c r="F72" s="44"/>
      <c r="G72" s="44" t="s">
        <v>4</v>
      </c>
      <c r="H72" s="44"/>
      <c r="I72" s="44" t="s">
        <v>5</v>
      </c>
      <c r="J72" s="44"/>
      <c r="K72" s="110"/>
      <c r="L72" s="111"/>
      <c r="M72" s="101"/>
      <c r="N72" s="102"/>
      <c r="O72" s="103"/>
      <c r="P72" s="106"/>
      <c r="Q72" s="49"/>
    </row>
    <row r="73" spans="1:17" ht="27" x14ac:dyDescent="0.45">
      <c r="A73" s="127"/>
      <c r="B73" s="44"/>
      <c r="C73" s="32" t="s">
        <v>14</v>
      </c>
      <c r="D73" s="32" t="s">
        <v>6</v>
      </c>
      <c r="E73" s="32" t="s">
        <v>14</v>
      </c>
      <c r="F73" s="32" t="s">
        <v>6</v>
      </c>
      <c r="G73" s="32" t="s">
        <v>14</v>
      </c>
      <c r="H73" s="32" t="s">
        <v>6</v>
      </c>
      <c r="I73" s="32" t="s">
        <v>14</v>
      </c>
      <c r="J73" s="32" t="s">
        <v>6</v>
      </c>
      <c r="K73" s="110"/>
      <c r="L73" s="111"/>
      <c r="M73" s="32" t="s">
        <v>14</v>
      </c>
      <c r="N73" s="32" t="s">
        <v>6</v>
      </c>
      <c r="O73" s="32" t="s">
        <v>13</v>
      </c>
      <c r="P73" s="106"/>
      <c r="Q73" s="49"/>
    </row>
    <row r="74" spans="1:17" ht="27.95" customHeight="1" x14ac:dyDescent="0.45">
      <c r="A74" s="127"/>
      <c r="B74" s="1" t="s">
        <v>18</v>
      </c>
      <c r="C74" s="35">
        <v>5</v>
      </c>
      <c r="D74" s="35">
        <v>164</v>
      </c>
      <c r="E74" s="35">
        <v>4</v>
      </c>
      <c r="F74" s="35">
        <v>163</v>
      </c>
      <c r="G74" s="35">
        <v>6</v>
      </c>
      <c r="H74" s="35">
        <v>174</v>
      </c>
      <c r="I74" s="35">
        <v>6</v>
      </c>
      <c r="J74" s="35">
        <v>211</v>
      </c>
      <c r="K74" s="110"/>
      <c r="L74" s="111"/>
      <c r="M74" s="39">
        <f>C74+E74+G74+I74+K74</f>
        <v>21</v>
      </c>
      <c r="N74" s="39">
        <f>SUM(D74+F74+H74+J74)</f>
        <v>712</v>
      </c>
      <c r="O74" s="43">
        <f t="shared" ref="O74" si="55">N74/M74</f>
        <v>33.904761904761905</v>
      </c>
      <c r="P74" s="106"/>
      <c r="Q74" s="49"/>
    </row>
    <row r="75" spans="1:17" ht="27.95" customHeight="1" x14ac:dyDescent="0.45">
      <c r="A75" s="128"/>
      <c r="B75" s="130" t="s">
        <v>7</v>
      </c>
      <c r="C75" s="40">
        <f t="shared" ref="C75:J75" si="56">SUM(C74:C74)</f>
        <v>5</v>
      </c>
      <c r="D75" s="40">
        <f t="shared" si="56"/>
        <v>164</v>
      </c>
      <c r="E75" s="40">
        <f t="shared" si="56"/>
        <v>4</v>
      </c>
      <c r="F75" s="40">
        <f t="shared" si="56"/>
        <v>163</v>
      </c>
      <c r="G75" s="40">
        <f t="shared" si="56"/>
        <v>6</v>
      </c>
      <c r="H75" s="40">
        <f t="shared" si="56"/>
        <v>174</v>
      </c>
      <c r="I75" s="40">
        <f t="shared" si="56"/>
        <v>6</v>
      </c>
      <c r="J75" s="40">
        <f t="shared" si="56"/>
        <v>211</v>
      </c>
      <c r="K75" s="112"/>
      <c r="L75" s="113"/>
      <c r="M75" s="40">
        <f>SUM(M70+M74)</f>
        <v>50</v>
      </c>
      <c r="N75" s="40">
        <f>SUM(N70+N74)</f>
        <v>1640</v>
      </c>
      <c r="O75" s="131">
        <f t="shared" ref="O75" si="57">N75/M75</f>
        <v>32.799999999999997</v>
      </c>
      <c r="P75" s="107"/>
      <c r="Q75" s="49"/>
    </row>
    <row r="76" spans="1:17" x14ac:dyDescent="0.45">
      <c r="A76" s="75">
        <v>2</v>
      </c>
      <c r="B76" s="44" t="s">
        <v>65</v>
      </c>
      <c r="C76" s="44" t="s">
        <v>69</v>
      </c>
      <c r="D76" s="44"/>
      <c r="E76" s="44"/>
      <c r="F76" s="44"/>
      <c r="G76" s="44"/>
      <c r="H76" s="44"/>
      <c r="I76" s="44"/>
      <c r="J76" s="44"/>
      <c r="K76" s="44"/>
      <c r="L76" s="44"/>
      <c r="M76" s="44" t="s">
        <v>1</v>
      </c>
      <c r="N76" s="44"/>
      <c r="O76" s="44"/>
      <c r="P76" s="120" t="s">
        <v>81</v>
      </c>
      <c r="Q76" s="104" t="s">
        <v>16</v>
      </c>
    </row>
    <row r="77" spans="1:17" x14ac:dyDescent="0.45">
      <c r="A77" s="77"/>
      <c r="B77" s="44"/>
      <c r="C77" s="44" t="s">
        <v>25</v>
      </c>
      <c r="D77" s="44"/>
      <c r="E77" s="44" t="s">
        <v>26</v>
      </c>
      <c r="F77" s="44"/>
      <c r="G77" s="44" t="s">
        <v>27</v>
      </c>
      <c r="H77" s="44"/>
      <c r="I77" s="44" t="s">
        <v>28</v>
      </c>
      <c r="J77" s="44"/>
      <c r="K77" s="44" t="s">
        <v>29</v>
      </c>
      <c r="L77" s="44"/>
      <c r="M77" s="44"/>
      <c r="N77" s="44"/>
      <c r="O77" s="44"/>
      <c r="P77" s="121"/>
      <c r="Q77" s="104"/>
    </row>
    <row r="78" spans="1:17" ht="27" x14ac:dyDescent="0.45">
      <c r="A78" s="77"/>
      <c r="B78" s="44"/>
      <c r="C78" s="32" t="s">
        <v>14</v>
      </c>
      <c r="D78" s="32" t="s">
        <v>6</v>
      </c>
      <c r="E78" s="32" t="s">
        <v>14</v>
      </c>
      <c r="F78" s="32" t="s">
        <v>6</v>
      </c>
      <c r="G78" s="32" t="s">
        <v>14</v>
      </c>
      <c r="H78" s="32" t="s">
        <v>6</v>
      </c>
      <c r="I78" s="32" t="s">
        <v>14</v>
      </c>
      <c r="J78" s="32" t="s">
        <v>6</v>
      </c>
      <c r="K78" s="32" t="s">
        <v>14</v>
      </c>
      <c r="L78" s="32" t="s">
        <v>6</v>
      </c>
      <c r="M78" s="32" t="s">
        <v>14</v>
      </c>
      <c r="N78" s="32" t="s">
        <v>6</v>
      </c>
      <c r="O78" s="32" t="s">
        <v>13</v>
      </c>
      <c r="P78" s="121"/>
      <c r="Q78" s="104"/>
    </row>
    <row r="79" spans="1:17" ht="27.95" customHeight="1" x14ac:dyDescent="0.45">
      <c r="A79" s="129"/>
      <c r="B79" s="1" t="s">
        <v>38</v>
      </c>
      <c r="C79" s="28">
        <v>6</v>
      </c>
      <c r="D79" s="28">
        <v>216</v>
      </c>
      <c r="E79" s="28">
        <v>7</v>
      </c>
      <c r="F79" s="28">
        <v>247</v>
      </c>
      <c r="G79" s="28">
        <v>6</v>
      </c>
      <c r="H79" s="28">
        <v>212</v>
      </c>
      <c r="I79" s="28">
        <v>6</v>
      </c>
      <c r="J79" s="28">
        <v>253</v>
      </c>
      <c r="K79" s="28">
        <v>5</v>
      </c>
      <c r="L79" s="28">
        <v>238</v>
      </c>
      <c r="M79" s="38">
        <f>C79+E79+G79+I79+K79</f>
        <v>30</v>
      </c>
      <c r="N79" s="38">
        <f>D79+F79+H79+J79+L79</f>
        <v>1166</v>
      </c>
      <c r="O79" s="43">
        <f>N79/M79</f>
        <v>38.866666666666667</v>
      </c>
      <c r="P79" s="121"/>
      <c r="Q79" s="48" t="s">
        <v>67</v>
      </c>
    </row>
    <row r="80" spans="1:17" ht="19.5" customHeight="1" x14ac:dyDescent="0.45">
      <c r="A80" s="129"/>
      <c r="B80" s="44" t="s">
        <v>66</v>
      </c>
      <c r="C80" s="44" t="s">
        <v>69</v>
      </c>
      <c r="D80" s="44"/>
      <c r="E80" s="44"/>
      <c r="F80" s="44"/>
      <c r="G80" s="44"/>
      <c r="H80" s="44"/>
      <c r="I80" s="44"/>
      <c r="J80" s="44"/>
      <c r="K80" s="114"/>
      <c r="L80" s="115"/>
      <c r="M80" s="74" t="s">
        <v>1</v>
      </c>
      <c r="N80" s="99"/>
      <c r="O80" s="100"/>
      <c r="P80" s="121"/>
      <c r="Q80" s="49"/>
    </row>
    <row r="81" spans="1:17" ht="14.25" customHeight="1" x14ac:dyDescent="0.45">
      <c r="A81" s="129"/>
      <c r="B81" s="44"/>
      <c r="C81" s="44" t="s">
        <v>2</v>
      </c>
      <c r="D81" s="44"/>
      <c r="E81" s="44" t="s">
        <v>3</v>
      </c>
      <c r="F81" s="44"/>
      <c r="G81" s="44" t="s">
        <v>4</v>
      </c>
      <c r="H81" s="44"/>
      <c r="I81" s="44" t="s">
        <v>5</v>
      </c>
      <c r="J81" s="44"/>
      <c r="K81" s="116"/>
      <c r="L81" s="117"/>
      <c r="M81" s="101"/>
      <c r="N81" s="102"/>
      <c r="O81" s="103"/>
      <c r="P81" s="121"/>
      <c r="Q81" s="49"/>
    </row>
    <row r="82" spans="1:17" ht="27" x14ac:dyDescent="0.45">
      <c r="A82" s="129"/>
      <c r="B82" s="44"/>
      <c r="C82" s="32" t="s">
        <v>14</v>
      </c>
      <c r="D82" s="32" t="s">
        <v>6</v>
      </c>
      <c r="E82" s="32" t="s">
        <v>14</v>
      </c>
      <c r="F82" s="32" t="s">
        <v>6</v>
      </c>
      <c r="G82" s="32" t="s">
        <v>14</v>
      </c>
      <c r="H82" s="32" t="s">
        <v>6</v>
      </c>
      <c r="I82" s="32" t="s">
        <v>14</v>
      </c>
      <c r="J82" s="32" t="s">
        <v>6</v>
      </c>
      <c r="K82" s="116"/>
      <c r="L82" s="117"/>
      <c r="M82" s="32" t="s">
        <v>14</v>
      </c>
      <c r="N82" s="32" t="s">
        <v>6</v>
      </c>
      <c r="O82" s="32" t="s">
        <v>13</v>
      </c>
      <c r="P82" s="121"/>
      <c r="Q82" s="49"/>
    </row>
    <row r="83" spans="1:17" ht="27.95" customHeight="1" x14ac:dyDescent="0.45">
      <c r="A83" s="129"/>
      <c r="B83" s="1" t="s">
        <v>10</v>
      </c>
      <c r="C83" s="35">
        <v>5</v>
      </c>
      <c r="D83" s="35">
        <v>227</v>
      </c>
      <c r="E83" s="35">
        <v>6</v>
      </c>
      <c r="F83" s="35">
        <v>259</v>
      </c>
      <c r="G83" s="35">
        <v>5</v>
      </c>
      <c r="H83" s="35">
        <v>213</v>
      </c>
      <c r="I83" s="35">
        <v>6</v>
      </c>
      <c r="J83" s="35">
        <v>229</v>
      </c>
      <c r="K83" s="116"/>
      <c r="L83" s="117"/>
      <c r="M83" s="39">
        <f>C83+E83+G83+I83+K83</f>
        <v>22</v>
      </c>
      <c r="N83" s="39">
        <f>SUM(D83+F83+H83+J83)</f>
        <v>928</v>
      </c>
      <c r="O83" s="43">
        <f t="shared" ref="O83" si="58">N83/M83</f>
        <v>42.18181818181818</v>
      </c>
      <c r="P83" s="121"/>
      <c r="Q83" s="49"/>
    </row>
    <row r="84" spans="1:17" ht="27.95" customHeight="1" x14ac:dyDescent="0.45">
      <c r="A84" s="103"/>
      <c r="B84" s="130" t="s">
        <v>7</v>
      </c>
      <c r="C84" s="40">
        <f t="shared" ref="C84:J84" si="59">SUM(C83:C83)</f>
        <v>5</v>
      </c>
      <c r="D84" s="40">
        <f t="shared" si="59"/>
        <v>227</v>
      </c>
      <c r="E84" s="40">
        <f t="shared" si="59"/>
        <v>6</v>
      </c>
      <c r="F84" s="40">
        <f t="shared" si="59"/>
        <v>259</v>
      </c>
      <c r="G84" s="40">
        <f t="shared" si="59"/>
        <v>5</v>
      </c>
      <c r="H84" s="40">
        <f t="shared" si="59"/>
        <v>213</v>
      </c>
      <c r="I84" s="40">
        <f t="shared" si="59"/>
        <v>6</v>
      </c>
      <c r="J84" s="40">
        <f t="shared" si="59"/>
        <v>229</v>
      </c>
      <c r="K84" s="118"/>
      <c r="L84" s="119"/>
      <c r="M84" s="40">
        <f>M79+M83</f>
        <v>52</v>
      </c>
      <c r="N84" s="40">
        <f>N79+N83</f>
        <v>2094</v>
      </c>
      <c r="O84" s="131">
        <f t="shared" ref="O84" si="60">N84/M84</f>
        <v>40.269230769230766</v>
      </c>
      <c r="P84" s="122"/>
      <c r="Q84" s="49"/>
    </row>
    <row r="85" spans="1:17" x14ac:dyDescent="0.45">
      <c r="A85" s="75">
        <v>3</v>
      </c>
      <c r="B85" s="44" t="s">
        <v>65</v>
      </c>
      <c r="C85" s="44" t="s">
        <v>69</v>
      </c>
      <c r="D85" s="44"/>
      <c r="E85" s="44"/>
      <c r="F85" s="44"/>
      <c r="G85" s="44"/>
      <c r="H85" s="44"/>
      <c r="I85" s="44"/>
      <c r="J85" s="44"/>
      <c r="K85" s="44"/>
      <c r="L85" s="44"/>
      <c r="M85" s="44" t="s">
        <v>1</v>
      </c>
      <c r="N85" s="44"/>
      <c r="O85" s="44"/>
      <c r="P85" s="120" t="s">
        <v>83</v>
      </c>
      <c r="Q85" s="104" t="s">
        <v>16</v>
      </c>
    </row>
    <row r="86" spans="1:17" x14ac:dyDescent="0.45">
      <c r="A86" s="77"/>
      <c r="B86" s="44"/>
      <c r="C86" s="44" t="s">
        <v>25</v>
      </c>
      <c r="D86" s="44"/>
      <c r="E86" s="44" t="s">
        <v>26</v>
      </c>
      <c r="F86" s="44"/>
      <c r="G86" s="44" t="s">
        <v>27</v>
      </c>
      <c r="H86" s="44"/>
      <c r="I86" s="44" t="s">
        <v>28</v>
      </c>
      <c r="J86" s="44"/>
      <c r="K86" s="44" t="s">
        <v>29</v>
      </c>
      <c r="L86" s="44"/>
      <c r="M86" s="44"/>
      <c r="N86" s="44"/>
      <c r="O86" s="44"/>
      <c r="P86" s="121"/>
      <c r="Q86" s="104"/>
    </row>
    <row r="87" spans="1:17" ht="27" x14ac:dyDescent="0.45">
      <c r="A87" s="77"/>
      <c r="B87" s="44"/>
      <c r="C87" s="32" t="s">
        <v>14</v>
      </c>
      <c r="D87" s="32" t="s">
        <v>6</v>
      </c>
      <c r="E87" s="32" t="s">
        <v>14</v>
      </c>
      <c r="F87" s="32" t="s">
        <v>6</v>
      </c>
      <c r="G87" s="32" t="s">
        <v>14</v>
      </c>
      <c r="H87" s="32" t="s">
        <v>6</v>
      </c>
      <c r="I87" s="32" t="s">
        <v>14</v>
      </c>
      <c r="J87" s="32" t="s">
        <v>6</v>
      </c>
      <c r="K87" s="32" t="s">
        <v>14</v>
      </c>
      <c r="L87" s="32" t="s">
        <v>6</v>
      </c>
      <c r="M87" s="32" t="s">
        <v>14</v>
      </c>
      <c r="N87" s="32" t="s">
        <v>6</v>
      </c>
      <c r="O87" s="32" t="s">
        <v>13</v>
      </c>
      <c r="P87" s="121"/>
      <c r="Q87" s="104"/>
    </row>
    <row r="88" spans="1:17" ht="27.95" customHeight="1" x14ac:dyDescent="0.45">
      <c r="A88" s="127"/>
      <c r="B88" s="1" t="s">
        <v>36</v>
      </c>
      <c r="C88" s="28">
        <v>6</v>
      </c>
      <c r="D88" s="28">
        <v>212</v>
      </c>
      <c r="E88" s="28">
        <v>7</v>
      </c>
      <c r="F88" s="28">
        <v>221</v>
      </c>
      <c r="G88" s="28">
        <v>6</v>
      </c>
      <c r="H88" s="28">
        <v>198</v>
      </c>
      <c r="I88" s="28">
        <v>7</v>
      </c>
      <c r="J88" s="28">
        <v>208</v>
      </c>
      <c r="K88" s="28">
        <v>5</v>
      </c>
      <c r="L88" s="28">
        <v>177</v>
      </c>
      <c r="M88" s="38">
        <f>C88+E88+G88+I88+K88</f>
        <v>31</v>
      </c>
      <c r="N88" s="38">
        <f>D88+F88+H88+J88+L88</f>
        <v>1016</v>
      </c>
      <c r="O88" s="43">
        <f>N88/M88</f>
        <v>32.774193548387096</v>
      </c>
      <c r="P88" s="121"/>
      <c r="Q88" s="48" t="s">
        <v>104</v>
      </c>
    </row>
    <row r="89" spans="1:17" x14ac:dyDescent="0.45">
      <c r="A89" s="127"/>
      <c r="B89" s="44" t="s">
        <v>66</v>
      </c>
      <c r="C89" s="44" t="s">
        <v>69</v>
      </c>
      <c r="D89" s="44"/>
      <c r="E89" s="44"/>
      <c r="F89" s="44"/>
      <c r="G89" s="44"/>
      <c r="H89" s="44"/>
      <c r="I89" s="44"/>
      <c r="J89" s="44"/>
      <c r="K89" s="114"/>
      <c r="L89" s="115"/>
      <c r="M89" s="74" t="s">
        <v>1</v>
      </c>
      <c r="N89" s="99"/>
      <c r="O89" s="100"/>
      <c r="P89" s="121"/>
      <c r="Q89" s="49"/>
    </row>
    <row r="90" spans="1:17" ht="18" customHeight="1" x14ac:dyDescent="0.45">
      <c r="A90" s="127"/>
      <c r="B90" s="44"/>
      <c r="C90" s="44" t="s">
        <v>2</v>
      </c>
      <c r="D90" s="44"/>
      <c r="E90" s="44" t="s">
        <v>3</v>
      </c>
      <c r="F90" s="44"/>
      <c r="G90" s="44" t="s">
        <v>4</v>
      </c>
      <c r="H90" s="44"/>
      <c r="I90" s="44" t="s">
        <v>5</v>
      </c>
      <c r="J90" s="44"/>
      <c r="K90" s="116"/>
      <c r="L90" s="117"/>
      <c r="M90" s="101"/>
      <c r="N90" s="102"/>
      <c r="O90" s="103"/>
      <c r="P90" s="121"/>
      <c r="Q90" s="49"/>
    </row>
    <row r="91" spans="1:17" ht="27" x14ac:dyDescent="0.45">
      <c r="A91" s="127"/>
      <c r="B91" s="44"/>
      <c r="C91" s="32" t="s">
        <v>14</v>
      </c>
      <c r="D91" s="32" t="s">
        <v>6</v>
      </c>
      <c r="E91" s="32" t="s">
        <v>14</v>
      </c>
      <c r="F91" s="32" t="s">
        <v>6</v>
      </c>
      <c r="G91" s="32" t="s">
        <v>14</v>
      </c>
      <c r="H91" s="32" t="s">
        <v>6</v>
      </c>
      <c r="I91" s="32" t="s">
        <v>14</v>
      </c>
      <c r="J91" s="32" t="s">
        <v>6</v>
      </c>
      <c r="K91" s="116"/>
      <c r="L91" s="117"/>
      <c r="M91" s="32" t="s">
        <v>14</v>
      </c>
      <c r="N91" s="32" t="s">
        <v>6</v>
      </c>
      <c r="O91" s="32" t="s">
        <v>13</v>
      </c>
      <c r="P91" s="121"/>
      <c r="Q91" s="49"/>
    </row>
    <row r="92" spans="1:17" ht="27.95" customHeight="1" x14ac:dyDescent="0.45">
      <c r="A92" s="127"/>
      <c r="B92" s="1" t="s">
        <v>8</v>
      </c>
      <c r="C92" s="35">
        <v>6</v>
      </c>
      <c r="D92" s="35">
        <v>224</v>
      </c>
      <c r="E92" s="35">
        <v>4</v>
      </c>
      <c r="F92" s="35">
        <v>163</v>
      </c>
      <c r="G92" s="35">
        <v>4</v>
      </c>
      <c r="H92" s="35">
        <v>135</v>
      </c>
      <c r="I92" s="35">
        <v>5</v>
      </c>
      <c r="J92" s="35">
        <v>179</v>
      </c>
      <c r="K92" s="116"/>
      <c r="L92" s="117"/>
      <c r="M92" s="39">
        <f>C92+E92+G92+I92+K92</f>
        <v>19</v>
      </c>
      <c r="N92" s="39">
        <f>SUM(D92+F92+H92+J92)</f>
        <v>701</v>
      </c>
      <c r="O92" s="43">
        <f t="shared" ref="O92" si="61">N92/M92</f>
        <v>36.89473684210526</v>
      </c>
      <c r="P92" s="121"/>
      <c r="Q92" s="49"/>
    </row>
    <row r="93" spans="1:17" ht="27.95" customHeight="1" x14ac:dyDescent="0.45">
      <c r="A93" s="128"/>
      <c r="B93" s="130" t="s">
        <v>7</v>
      </c>
      <c r="C93" s="40">
        <f t="shared" ref="C93:J93" si="62">SUM(C92:C92)</f>
        <v>6</v>
      </c>
      <c r="D93" s="40">
        <f t="shared" si="62"/>
        <v>224</v>
      </c>
      <c r="E93" s="40">
        <f t="shared" si="62"/>
        <v>4</v>
      </c>
      <c r="F93" s="40">
        <f t="shared" si="62"/>
        <v>163</v>
      </c>
      <c r="G93" s="40">
        <f t="shared" si="62"/>
        <v>4</v>
      </c>
      <c r="H93" s="40">
        <f t="shared" si="62"/>
        <v>135</v>
      </c>
      <c r="I93" s="40">
        <f t="shared" si="62"/>
        <v>5</v>
      </c>
      <c r="J93" s="40">
        <f t="shared" si="62"/>
        <v>179</v>
      </c>
      <c r="K93" s="118"/>
      <c r="L93" s="119"/>
      <c r="M93" s="40">
        <f>M88+M92</f>
        <v>50</v>
      </c>
      <c r="N93" s="40">
        <f>N88+N92</f>
        <v>1717</v>
      </c>
      <c r="O93" s="131">
        <f t="shared" ref="O93" si="63">N93/M93</f>
        <v>34.340000000000003</v>
      </c>
      <c r="P93" s="122"/>
      <c r="Q93" s="49"/>
    </row>
    <row r="94" spans="1:17" x14ac:dyDescent="0.45">
      <c r="A94" s="75">
        <v>4</v>
      </c>
      <c r="B94" s="44" t="s">
        <v>65</v>
      </c>
      <c r="C94" s="44" t="s">
        <v>69</v>
      </c>
      <c r="D94" s="44"/>
      <c r="E94" s="44"/>
      <c r="F94" s="44"/>
      <c r="G94" s="44"/>
      <c r="H94" s="44"/>
      <c r="I94" s="44"/>
      <c r="J94" s="44"/>
      <c r="K94" s="44"/>
      <c r="L94" s="44"/>
      <c r="M94" s="44" t="s">
        <v>1</v>
      </c>
      <c r="N94" s="44"/>
      <c r="O94" s="44"/>
      <c r="P94" s="120" t="s">
        <v>82</v>
      </c>
      <c r="Q94" s="104" t="s">
        <v>16</v>
      </c>
    </row>
    <row r="95" spans="1:17" x14ac:dyDescent="0.45">
      <c r="A95" s="77"/>
      <c r="B95" s="44"/>
      <c r="C95" s="44" t="s">
        <v>25</v>
      </c>
      <c r="D95" s="44"/>
      <c r="E95" s="44" t="s">
        <v>26</v>
      </c>
      <c r="F95" s="44"/>
      <c r="G95" s="44" t="s">
        <v>27</v>
      </c>
      <c r="H95" s="44"/>
      <c r="I95" s="44" t="s">
        <v>28</v>
      </c>
      <c r="J95" s="44"/>
      <c r="K95" s="44" t="s">
        <v>29</v>
      </c>
      <c r="L95" s="44"/>
      <c r="M95" s="44"/>
      <c r="N95" s="44"/>
      <c r="O95" s="44"/>
      <c r="P95" s="121"/>
      <c r="Q95" s="104"/>
    </row>
    <row r="96" spans="1:17" ht="27" x14ac:dyDescent="0.45">
      <c r="A96" s="77"/>
      <c r="B96" s="44"/>
      <c r="C96" s="32" t="s">
        <v>14</v>
      </c>
      <c r="D96" s="32" t="s">
        <v>6</v>
      </c>
      <c r="E96" s="32" t="s">
        <v>14</v>
      </c>
      <c r="F96" s="32" t="s">
        <v>6</v>
      </c>
      <c r="G96" s="32" t="s">
        <v>14</v>
      </c>
      <c r="H96" s="32" t="s">
        <v>6</v>
      </c>
      <c r="I96" s="32" t="s">
        <v>14</v>
      </c>
      <c r="J96" s="32" t="s">
        <v>6</v>
      </c>
      <c r="K96" s="32" t="s">
        <v>14</v>
      </c>
      <c r="L96" s="32" t="s">
        <v>6</v>
      </c>
      <c r="M96" s="32" t="s">
        <v>14</v>
      </c>
      <c r="N96" s="32" t="s">
        <v>6</v>
      </c>
      <c r="O96" s="32" t="s">
        <v>13</v>
      </c>
      <c r="P96" s="121"/>
      <c r="Q96" s="104"/>
    </row>
    <row r="97" spans="1:17" ht="27.95" customHeight="1" x14ac:dyDescent="0.45">
      <c r="A97" s="129"/>
      <c r="B97" s="1" t="s">
        <v>30</v>
      </c>
      <c r="C97" s="28">
        <v>6</v>
      </c>
      <c r="D97" s="28">
        <v>214</v>
      </c>
      <c r="E97" s="28">
        <v>6</v>
      </c>
      <c r="F97" s="28">
        <v>214</v>
      </c>
      <c r="G97" s="28">
        <v>5</v>
      </c>
      <c r="H97" s="28">
        <v>201</v>
      </c>
      <c r="I97" s="28">
        <v>6</v>
      </c>
      <c r="J97" s="28">
        <v>242</v>
      </c>
      <c r="K97" s="28">
        <v>6</v>
      </c>
      <c r="L97" s="28">
        <v>238</v>
      </c>
      <c r="M97" s="38">
        <f>C97+E97+G97+I97+K97</f>
        <v>29</v>
      </c>
      <c r="N97" s="38">
        <f>D97+F97+H97+J97+L97</f>
        <v>1109</v>
      </c>
      <c r="O97" s="43">
        <f>N97/M97</f>
        <v>38.241379310344826</v>
      </c>
      <c r="P97" s="121"/>
      <c r="Q97" s="48" t="s">
        <v>104</v>
      </c>
    </row>
    <row r="98" spans="1:17" x14ac:dyDescent="0.45">
      <c r="A98" s="129"/>
      <c r="B98" s="44" t="s">
        <v>66</v>
      </c>
      <c r="C98" s="44" t="s">
        <v>69</v>
      </c>
      <c r="D98" s="44"/>
      <c r="E98" s="44"/>
      <c r="F98" s="44"/>
      <c r="G98" s="44"/>
      <c r="H98" s="44"/>
      <c r="I98" s="44"/>
      <c r="J98" s="44"/>
      <c r="K98" s="114"/>
      <c r="L98" s="115"/>
      <c r="M98" s="74" t="s">
        <v>1</v>
      </c>
      <c r="N98" s="99"/>
      <c r="O98" s="100"/>
      <c r="P98" s="121"/>
      <c r="Q98" s="49"/>
    </row>
    <row r="99" spans="1:17" x14ac:dyDescent="0.45">
      <c r="A99" s="129"/>
      <c r="B99" s="44"/>
      <c r="C99" s="44" t="s">
        <v>2</v>
      </c>
      <c r="D99" s="44"/>
      <c r="E99" s="44" t="s">
        <v>3</v>
      </c>
      <c r="F99" s="44"/>
      <c r="G99" s="44" t="s">
        <v>4</v>
      </c>
      <c r="H99" s="44"/>
      <c r="I99" s="44" t="s">
        <v>5</v>
      </c>
      <c r="J99" s="44"/>
      <c r="K99" s="116"/>
      <c r="L99" s="117"/>
      <c r="M99" s="101"/>
      <c r="N99" s="102"/>
      <c r="O99" s="103"/>
      <c r="P99" s="121"/>
      <c r="Q99" s="49"/>
    </row>
    <row r="100" spans="1:17" ht="27" x14ac:dyDescent="0.45">
      <c r="A100" s="129"/>
      <c r="B100" s="44"/>
      <c r="C100" s="32" t="s">
        <v>14</v>
      </c>
      <c r="D100" s="32" t="s">
        <v>6</v>
      </c>
      <c r="E100" s="32" t="s">
        <v>14</v>
      </c>
      <c r="F100" s="32" t="s">
        <v>6</v>
      </c>
      <c r="G100" s="32" t="s">
        <v>14</v>
      </c>
      <c r="H100" s="32" t="s">
        <v>6</v>
      </c>
      <c r="I100" s="32" t="s">
        <v>14</v>
      </c>
      <c r="J100" s="32" t="s">
        <v>6</v>
      </c>
      <c r="K100" s="116"/>
      <c r="L100" s="117"/>
      <c r="M100" s="32" t="s">
        <v>14</v>
      </c>
      <c r="N100" s="32" t="s">
        <v>6</v>
      </c>
      <c r="O100" s="32" t="s">
        <v>13</v>
      </c>
      <c r="P100" s="121"/>
      <c r="Q100" s="49"/>
    </row>
    <row r="101" spans="1:17" ht="27.95" customHeight="1" x14ac:dyDescent="0.45">
      <c r="A101" s="129"/>
      <c r="B101" s="1" t="s">
        <v>21</v>
      </c>
      <c r="C101" s="35">
        <v>7</v>
      </c>
      <c r="D101" s="35">
        <v>265</v>
      </c>
      <c r="E101" s="35">
        <v>7</v>
      </c>
      <c r="F101" s="35">
        <v>243</v>
      </c>
      <c r="G101" s="35">
        <v>8</v>
      </c>
      <c r="H101" s="35">
        <v>307</v>
      </c>
      <c r="I101" s="35">
        <v>9</v>
      </c>
      <c r="J101" s="35">
        <v>374</v>
      </c>
      <c r="K101" s="116"/>
      <c r="L101" s="117"/>
      <c r="M101" s="39">
        <f>C101+E101+G101+I101+K101</f>
        <v>31</v>
      </c>
      <c r="N101" s="39">
        <f>SUM(D101+F101+H101+J101)</f>
        <v>1189</v>
      </c>
      <c r="O101" s="43">
        <f t="shared" ref="O101" si="64">N101/M101</f>
        <v>38.354838709677416</v>
      </c>
      <c r="P101" s="121"/>
      <c r="Q101" s="49"/>
    </row>
    <row r="102" spans="1:17" ht="27.95" customHeight="1" x14ac:dyDescent="0.45">
      <c r="A102" s="103"/>
      <c r="B102" s="130" t="s">
        <v>7</v>
      </c>
      <c r="C102" s="40">
        <f t="shared" ref="C102:J102" si="65">SUM(C101:C101)</f>
        <v>7</v>
      </c>
      <c r="D102" s="40">
        <f t="shared" si="65"/>
        <v>265</v>
      </c>
      <c r="E102" s="40">
        <f t="shared" si="65"/>
        <v>7</v>
      </c>
      <c r="F102" s="40">
        <f t="shared" si="65"/>
        <v>243</v>
      </c>
      <c r="G102" s="40">
        <f t="shared" si="65"/>
        <v>8</v>
      </c>
      <c r="H102" s="40">
        <f t="shared" si="65"/>
        <v>307</v>
      </c>
      <c r="I102" s="40">
        <f t="shared" si="65"/>
        <v>9</v>
      </c>
      <c r="J102" s="40">
        <f t="shared" si="65"/>
        <v>374</v>
      </c>
      <c r="K102" s="118"/>
      <c r="L102" s="119"/>
      <c r="M102" s="40">
        <f>M97+M101</f>
        <v>60</v>
      </c>
      <c r="N102" s="40">
        <f>N97+N101</f>
        <v>2298</v>
      </c>
      <c r="O102" s="131">
        <f t="shared" ref="O102" si="66">N102/M102</f>
        <v>38.299999999999997</v>
      </c>
      <c r="P102" s="122"/>
      <c r="Q102" s="49"/>
    </row>
    <row r="103" spans="1:17" x14ac:dyDescent="0.45">
      <c r="A103" s="75">
        <v>5</v>
      </c>
      <c r="B103" s="44" t="s">
        <v>65</v>
      </c>
      <c r="C103" s="44" t="s">
        <v>69</v>
      </c>
      <c r="D103" s="44"/>
      <c r="E103" s="44"/>
      <c r="F103" s="44"/>
      <c r="G103" s="44"/>
      <c r="H103" s="44"/>
      <c r="I103" s="44"/>
      <c r="J103" s="44"/>
      <c r="K103" s="44"/>
      <c r="L103" s="44"/>
      <c r="M103" s="44" t="s">
        <v>1</v>
      </c>
      <c r="N103" s="44"/>
      <c r="O103" s="44"/>
      <c r="P103" s="120" t="s">
        <v>84</v>
      </c>
      <c r="Q103" s="104" t="s">
        <v>16</v>
      </c>
    </row>
    <row r="104" spans="1:17" x14ac:dyDescent="0.45">
      <c r="A104" s="77"/>
      <c r="B104" s="44"/>
      <c r="C104" s="44" t="s">
        <v>25</v>
      </c>
      <c r="D104" s="44"/>
      <c r="E104" s="44" t="s">
        <v>26</v>
      </c>
      <c r="F104" s="44"/>
      <c r="G104" s="44" t="s">
        <v>27</v>
      </c>
      <c r="H104" s="44"/>
      <c r="I104" s="44" t="s">
        <v>28</v>
      </c>
      <c r="J104" s="44"/>
      <c r="K104" s="44" t="s">
        <v>29</v>
      </c>
      <c r="L104" s="44"/>
      <c r="M104" s="44"/>
      <c r="N104" s="44"/>
      <c r="O104" s="44"/>
      <c r="P104" s="121"/>
      <c r="Q104" s="104"/>
    </row>
    <row r="105" spans="1:17" ht="27" x14ac:dyDescent="0.45">
      <c r="A105" s="77"/>
      <c r="B105" s="44"/>
      <c r="C105" s="32" t="s">
        <v>14</v>
      </c>
      <c r="D105" s="32" t="s">
        <v>6</v>
      </c>
      <c r="E105" s="32" t="s">
        <v>14</v>
      </c>
      <c r="F105" s="32" t="s">
        <v>6</v>
      </c>
      <c r="G105" s="32" t="s">
        <v>14</v>
      </c>
      <c r="H105" s="32" t="s">
        <v>6</v>
      </c>
      <c r="I105" s="32" t="s">
        <v>14</v>
      </c>
      <c r="J105" s="32" t="s">
        <v>6</v>
      </c>
      <c r="K105" s="32" t="s">
        <v>14</v>
      </c>
      <c r="L105" s="32" t="s">
        <v>6</v>
      </c>
      <c r="M105" s="32" t="s">
        <v>14</v>
      </c>
      <c r="N105" s="32" t="s">
        <v>6</v>
      </c>
      <c r="O105" s="32" t="s">
        <v>13</v>
      </c>
      <c r="P105" s="121"/>
      <c r="Q105" s="104"/>
    </row>
    <row r="106" spans="1:17" ht="27.95" customHeight="1" x14ac:dyDescent="0.45">
      <c r="A106" s="77"/>
      <c r="B106" s="1" t="s">
        <v>39</v>
      </c>
      <c r="C106" s="28">
        <v>6</v>
      </c>
      <c r="D106" s="28">
        <v>179</v>
      </c>
      <c r="E106" s="28">
        <v>6</v>
      </c>
      <c r="F106" s="28">
        <v>188</v>
      </c>
      <c r="G106" s="28">
        <v>6</v>
      </c>
      <c r="H106" s="28">
        <v>180</v>
      </c>
      <c r="I106" s="28">
        <v>6</v>
      </c>
      <c r="J106" s="28">
        <v>187</v>
      </c>
      <c r="K106" s="28">
        <v>5</v>
      </c>
      <c r="L106" s="28">
        <v>158</v>
      </c>
      <c r="M106" s="38">
        <f>C106+E106+G106+I106+K106</f>
        <v>29</v>
      </c>
      <c r="N106" s="38">
        <f>D106+F106+H106+J106+L106</f>
        <v>892</v>
      </c>
      <c r="O106" s="43">
        <f>N106/M106</f>
        <v>30.758620689655171</v>
      </c>
      <c r="P106" s="121"/>
      <c r="Q106" s="123" t="s">
        <v>104</v>
      </c>
    </row>
    <row r="107" spans="1:17" x14ac:dyDescent="0.45">
      <c r="A107" s="129"/>
      <c r="B107" s="44" t="s">
        <v>66</v>
      </c>
      <c r="C107" s="44" t="s">
        <v>69</v>
      </c>
      <c r="D107" s="44"/>
      <c r="E107" s="44"/>
      <c r="F107" s="44"/>
      <c r="G107" s="44"/>
      <c r="H107" s="44"/>
      <c r="I107" s="44"/>
      <c r="J107" s="44"/>
      <c r="K107" s="114"/>
      <c r="L107" s="115"/>
      <c r="M107" s="74" t="s">
        <v>1</v>
      </c>
      <c r="N107" s="99"/>
      <c r="O107" s="100"/>
      <c r="P107" s="121"/>
      <c r="Q107" s="124"/>
    </row>
    <row r="108" spans="1:17" x14ac:dyDescent="0.45">
      <c r="A108" s="129"/>
      <c r="B108" s="44"/>
      <c r="C108" s="44" t="s">
        <v>2</v>
      </c>
      <c r="D108" s="44"/>
      <c r="E108" s="44" t="s">
        <v>3</v>
      </c>
      <c r="F108" s="44"/>
      <c r="G108" s="44" t="s">
        <v>4</v>
      </c>
      <c r="H108" s="44"/>
      <c r="I108" s="44" t="s">
        <v>5</v>
      </c>
      <c r="J108" s="44"/>
      <c r="K108" s="116"/>
      <c r="L108" s="117"/>
      <c r="M108" s="101"/>
      <c r="N108" s="102"/>
      <c r="O108" s="103"/>
      <c r="P108" s="121"/>
      <c r="Q108" s="124"/>
    </row>
    <row r="109" spans="1:17" ht="27" x14ac:dyDescent="0.45">
      <c r="A109" s="129"/>
      <c r="B109" s="44"/>
      <c r="C109" s="32" t="s">
        <v>14</v>
      </c>
      <c r="D109" s="32" t="s">
        <v>6</v>
      </c>
      <c r="E109" s="32" t="s">
        <v>14</v>
      </c>
      <c r="F109" s="32" t="s">
        <v>6</v>
      </c>
      <c r="G109" s="32" t="s">
        <v>14</v>
      </c>
      <c r="H109" s="32" t="s">
        <v>6</v>
      </c>
      <c r="I109" s="32" t="s">
        <v>14</v>
      </c>
      <c r="J109" s="32" t="s">
        <v>6</v>
      </c>
      <c r="K109" s="116"/>
      <c r="L109" s="117"/>
      <c r="M109" s="32" t="s">
        <v>14</v>
      </c>
      <c r="N109" s="32" t="s">
        <v>6</v>
      </c>
      <c r="O109" s="32" t="s">
        <v>13</v>
      </c>
      <c r="P109" s="121"/>
      <c r="Q109" s="124"/>
    </row>
    <row r="110" spans="1:17" ht="27.95" customHeight="1" x14ac:dyDescent="0.45">
      <c r="A110" s="129"/>
      <c r="B110" s="1" t="s">
        <v>22</v>
      </c>
      <c r="C110" s="35">
        <v>3</v>
      </c>
      <c r="D110" s="35">
        <v>88</v>
      </c>
      <c r="E110" s="35">
        <v>6</v>
      </c>
      <c r="F110" s="35">
        <v>164</v>
      </c>
      <c r="G110" s="35">
        <v>5</v>
      </c>
      <c r="H110" s="35">
        <v>152</v>
      </c>
      <c r="I110" s="35">
        <v>7</v>
      </c>
      <c r="J110" s="35">
        <v>197</v>
      </c>
      <c r="K110" s="116"/>
      <c r="L110" s="117"/>
      <c r="M110" s="39">
        <f>C110+E110+G110+I110+K110</f>
        <v>21</v>
      </c>
      <c r="N110" s="39">
        <f>SUM(D110+F110+H110+J110)</f>
        <v>601</v>
      </c>
      <c r="O110" s="43">
        <f t="shared" ref="O110" si="67">N110/M110</f>
        <v>28.61904761904762</v>
      </c>
      <c r="P110" s="121"/>
      <c r="Q110" s="124"/>
    </row>
    <row r="111" spans="1:17" ht="27.95" customHeight="1" x14ac:dyDescent="0.45">
      <c r="A111" s="103"/>
      <c r="B111" s="130" t="s">
        <v>7</v>
      </c>
      <c r="C111" s="40">
        <f>SUM(C106+C110)</f>
        <v>9</v>
      </c>
      <c r="D111" s="40">
        <f t="shared" ref="D111:J111" si="68">SUM(D106+D110)</f>
        <v>267</v>
      </c>
      <c r="E111" s="40">
        <f t="shared" si="68"/>
        <v>12</v>
      </c>
      <c r="F111" s="40">
        <f t="shared" si="68"/>
        <v>352</v>
      </c>
      <c r="G111" s="40">
        <f t="shared" si="68"/>
        <v>11</v>
      </c>
      <c r="H111" s="40">
        <f t="shared" si="68"/>
        <v>332</v>
      </c>
      <c r="I111" s="40">
        <f t="shared" si="68"/>
        <v>13</v>
      </c>
      <c r="J111" s="40">
        <f t="shared" si="68"/>
        <v>384</v>
      </c>
      <c r="K111" s="118"/>
      <c r="L111" s="119"/>
      <c r="M111" s="40">
        <f>M106+M110</f>
        <v>50</v>
      </c>
      <c r="N111" s="40">
        <f>N106+N110</f>
        <v>1493</v>
      </c>
      <c r="O111" s="131">
        <f t="shared" ref="O111" si="69">N111/M111</f>
        <v>29.86</v>
      </c>
      <c r="P111" s="122"/>
      <c r="Q111" s="125"/>
    </row>
    <row r="112" spans="1:17" ht="28.15" customHeight="1" x14ac:dyDescent="0.45">
      <c r="A112" s="98" t="s">
        <v>100</v>
      </c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</row>
  </sheetData>
  <mergeCells count="202">
    <mergeCell ref="P103:P111"/>
    <mergeCell ref="Q106:Q111"/>
    <mergeCell ref="K107:L111"/>
    <mergeCell ref="P94:P102"/>
    <mergeCell ref="Q97:Q102"/>
    <mergeCell ref="Q94:Q96"/>
    <mergeCell ref="A103:A111"/>
    <mergeCell ref="B103:B105"/>
    <mergeCell ref="C103:L103"/>
    <mergeCell ref="M103:O104"/>
    <mergeCell ref="Q103:Q105"/>
    <mergeCell ref="C104:D104"/>
    <mergeCell ref="E104:F104"/>
    <mergeCell ref="G104:H104"/>
    <mergeCell ref="I104:J104"/>
    <mergeCell ref="K104:L104"/>
    <mergeCell ref="B107:B109"/>
    <mergeCell ref="C107:J107"/>
    <mergeCell ref="M107:O108"/>
    <mergeCell ref="C108:D108"/>
    <mergeCell ref="E108:F108"/>
    <mergeCell ref="G108:H108"/>
    <mergeCell ref="I108:J108"/>
    <mergeCell ref="C95:D95"/>
    <mergeCell ref="P70:P75"/>
    <mergeCell ref="K71:L75"/>
    <mergeCell ref="K80:L84"/>
    <mergeCell ref="P76:P84"/>
    <mergeCell ref="G99:H99"/>
    <mergeCell ref="I99:J99"/>
    <mergeCell ref="E81:F81"/>
    <mergeCell ref="G81:H81"/>
    <mergeCell ref="I81:J81"/>
    <mergeCell ref="K89:L93"/>
    <mergeCell ref="P85:P93"/>
    <mergeCell ref="K98:L102"/>
    <mergeCell ref="E95:F95"/>
    <mergeCell ref="G95:H95"/>
    <mergeCell ref="I95:J95"/>
    <mergeCell ref="K95:L95"/>
    <mergeCell ref="M94:O95"/>
    <mergeCell ref="A94:A102"/>
    <mergeCell ref="B94:B96"/>
    <mergeCell ref="C94:L94"/>
    <mergeCell ref="B98:B100"/>
    <mergeCell ref="C98:J98"/>
    <mergeCell ref="M98:O99"/>
    <mergeCell ref="C99:D99"/>
    <mergeCell ref="E99:F99"/>
    <mergeCell ref="A76:A84"/>
    <mergeCell ref="A85:A93"/>
    <mergeCell ref="Q85:Q87"/>
    <mergeCell ref="C86:D86"/>
    <mergeCell ref="E86:F86"/>
    <mergeCell ref="G86:H86"/>
    <mergeCell ref="I86:J86"/>
    <mergeCell ref="K86:L86"/>
    <mergeCell ref="B89:B91"/>
    <mergeCell ref="C89:J89"/>
    <mergeCell ref="M89:O90"/>
    <mergeCell ref="C90:D90"/>
    <mergeCell ref="E90:F90"/>
    <mergeCell ref="G90:H90"/>
    <mergeCell ref="I90:J90"/>
    <mergeCell ref="B85:B87"/>
    <mergeCell ref="C85:L85"/>
    <mergeCell ref="M85:O86"/>
    <mergeCell ref="Q88:Q93"/>
    <mergeCell ref="A112:Q112"/>
    <mergeCell ref="B71:B73"/>
    <mergeCell ref="C71:J71"/>
    <mergeCell ref="C72:D72"/>
    <mergeCell ref="E72:F72"/>
    <mergeCell ref="G72:H72"/>
    <mergeCell ref="I72:J72"/>
    <mergeCell ref="M71:O72"/>
    <mergeCell ref="Q70:Q75"/>
    <mergeCell ref="B76:B78"/>
    <mergeCell ref="C76:L76"/>
    <mergeCell ref="M76:O77"/>
    <mergeCell ref="A70:A75"/>
    <mergeCell ref="Q76:Q78"/>
    <mergeCell ref="C77:D77"/>
    <mergeCell ref="E77:F77"/>
    <mergeCell ref="G77:H77"/>
    <mergeCell ref="I77:J77"/>
    <mergeCell ref="K77:L77"/>
    <mergeCell ref="Q79:Q84"/>
    <mergeCell ref="B80:B82"/>
    <mergeCell ref="C80:J80"/>
    <mergeCell ref="M80:O81"/>
    <mergeCell ref="C81:D81"/>
    <mergeCell ref="A67:A69"/>
    <mergeCell ref="B67:B69"/>
    <mergeCell ref="C67:L67"/>
    <mergeCell ref="M67:O68"/>
    <mergeCell ref="Q67:Q69"/>
    <mergeCell ref="C68:D68"/>
    <mergeCell ref="E68:F68"/>
    <mergeCell ref="G68:H68"/>
    <mergeCell ref="I68:J68"/>
    <mergeCell ref="K68:L68"/>
    <mergeCell ref="P67:P69"/>
    <mergeCell ref="A66:Q66"/>
    <mergeCell ref="A1:C1"/>
    <mergeCell ref="A2:C2"/>
    <mergeCell ref="A3:Q3"/>
    <mergeCell ref="A4:Q4"/>
    <mergeCell ref="A17:A19"/>
    <mergeCell ref="Q17:Q19"/>
    <mergeCell ref="C8:C10"/>
    <mergeCell ref="D8:K8"/>
    <mergeCell ref="L8:O9"/>
    <mergeCell ref="A6:Q6"/>
    <mergeCell ref="A20:A23"/>
    <mergeCell ref="Q20:Q23"/>
    <mergeCell ref="A24:A26"/>
    <mergeCell ref="Q24:Q26"/>
    <mergeCell ref="A7:Q7"/>
    <mergeCell ref="A11:A13"/>
    <mergeCell ref="Q11:Q13"/>
    <mergeCell ref="N50:O52"/>
    <mergeCell ref="P50:Q52"/>
    <mergeCell ref="P53:Q54"/>
    <mergeCell ref="N53:O53"/>
    <mergeCell ref="N54:O54"/>
    <mergeCell ref="P27:P29"/>
    <mergeCell ref="A14:A16"/>
    <mergeCell ref="Q14:Q16"/>
    <mergeCell ref="Q8:Q10"/>
    <mergeCell ref="D9:E9"/>
    <mergeCell ref="F9:G9"/>
    <mergeCell ref="H9:I9"/>
    <mergeCell ref="J9:K9"/>
    <mergeCell ref="A8:A10"/>
    <mergeCell ref="B8:B10"/>
    <mergeCell ref="P8:P10"/>
    <mergeCell ref="P11:P13"/>
    <mergeCell ref="P14:P16"/>
    <mergeCell ref="P17:P19"/>
    <mergeCell ref="P20:P23"/>
    <mergeCell ref="P24:P26"/>
    <mergeCell ref="G39:H39"/>
    <mergeCell ref="A59:A61"/>
    <mergeCell ref="A62:A64"/>
    <mergeCell ref="A56:A58"/>
    <mergeCell ref="B56:B58"/>
    <mergeCell ref="C56:J56"/>
    <mergeCell ref="K56:M57"/>
    <mergeCell ref="C57:D57"/>
    <mergeCell ref="E57:F57"/>
    <mergeCell ref="G57:H57"/>
    <mergeCell ref="I57:J57"/>
    <mergeCell ref="K34:L34"/>
    <mergeCell ref="A55:Q55"/>
    <mergeCell ref="N56:O58"/>
    <mergeCell ref="P56:Q58"/>
    <mergeCell ref="N59:O61"/>
    <mergeCell ref="N62:O64"/>
    <mergeCell ref="P59:Q61"/>
    <mergeCell ref="P62:Q64"/>
    <mergeCell ref="A44:A46"/>
    <mergeCell ref="G34:H34"/>
    <mergeCell ref="A37:Q37"/>
    <mergeCell ref="C51:D51"/>
    <mergeCell ref="E51:F51"/>
    <mergeCell ref="G51:H51"/>
    <mergeCell ref="I51:J51"/>
    <mergeCell ref="A50:A52"/>
    <mergeCell ref="B50:B52"/>
    <mergeCell ref="C50:J50"/>
    <mergeCell ref="K50:M51"/>
    <mergeCell ref="A49:Q49"/>
    <mergeCell ref="M38:O39"/>
    <mergeCell ref="Q38:Q40"/>
    <mergeCell ref="C39:D39"/>
    <mergeCell ref="I39:J39"/>
    <mergeCell ref="E39:F39"/>
    <mergeCell ref="A27:A29"/>
    <mergeCell ref="I34:J34"/>
    <mergeCell ref="K39:L39"/>
    <mergeCell ref="A41:A43"/>
    <mergeCell ref="Q41:Q43"/>
    <mergeCell ref="A48:Q48"/>
    <mergeCell ref="A38:A40"/>
    <mergeCell ref="B38:B40"/>
    <mergeCell ref="C38:L38"/>
    <mergeCell ref="Q27:Q29"/>
    <mergeCell ref="P33:P35"/>
    <mergeCell ref="P38:P40"/>
    <mergeCell ref="P41:P42"/>
    <mergeCell ref="P44:P45"/>
    <mergeCell ref="Q44:Q46"/>
    <mergeCell ref="A31:Q31"/>
    <mergeCell ref="A32:Q32"/>
    <mergeCell ref="A33:A35"/>
    <mergeCell ref="B33:B35"/>
    <mergeCell ref="C33:L33"/>
    <mergeCell ref="M33:O34"/>
    <mergeCell ref="C34:D34"/>
    <mergeCell ref="Q33:Q35"/>
    <mergeCell ref="E34:F34"/>
  </mergeCells>
  <phoneticPr fontId="6" type="noConversion"/>
  <pageMargins left="0.48" right="0.25" top="0.56000000000000005" bottom="0.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Sắp xếp MN, TH, THCS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Pham Thanh</dc:creator>
  <cp:lastModifiedBy>Linh Nguyễn Thị Mỹ</cp:lastModifiedBy>
  <cp:lastPrinted>2019-10-16T06:43:51Z</cp:lastPrinted>
  <dcterms:created xsi:type="dcterms:W3CDTF">2017-11-24T13:52:22Z</dcterms:created>
  <dcterms:modified xsi:type="dcterms:W3CDTF">2026-07-20T13:15:59Z</dcterms:modified>
</cp:coreProperties>
</file>